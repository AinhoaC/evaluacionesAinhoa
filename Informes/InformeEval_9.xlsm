
<file path=[Content_Types].xml><?xml version="1.0" encoding="utf-8"?>
<Types xmlns="http://schemas.openxmlformats.org/package/2006/content-types">
  <Default ContentType="application/vnd.openxmlformats-officedocument.spreadsheetml.printerSettings" Extension="bin"/>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ml.chart+xml" PartName="/xl/charts/chart3.xml"/>
  <Override ContentType="application/vnd.openxmlformats-officedocument.drawingml.chart+xml" PartName="/xl/charts/chart4.xml"/>
  <Override ContentType="application/vnd.openxmlformats-officedocument.drawingml.chart+xml" PartName="/xl/charts/chart5.xml"/>
  <Override ContentType="application/vnd.openxmlformats-officedocument.drawingml.chart+xml" PartName="/xl/charts/chart6.xml"/>
  <Override ContentType="application/vnd.openxmlformats-officedocument.drawingml.chart+xml" PartName="/xl/charts/chart7.xml"/>
  <Override ContentType="application/vnd.openxmlformats-officedocument.drawingml.chart+xml" PartName="/xl/charts/chart8.xml"/>
  <Override ContentType="application/vnd.openxmlformats-officedocument.drawingml.chart+xml" PartName="/xl/charts/chart9.xml"/>
  <Override ContentType="application/vnd.openxmlformats-officedocument.drawingml.chart+xml" PartName="/xl/charts/chart10.xml"/>
  <Override ContentType="application/vnd.openxmlformats-officedocument.drawingml.chart+xml" PartName="/xl/charts/chart11.xml"/>
  <Override ContentType="application/vnd.openxmlformats-officedocument.drawingml.chart+xml" PartName="/xl/charts/chart12.xml"/>
  <Override ContentType="application/vnd.openxmlformats-officedocument.drawingml.chart+xml" PartName="/xl/charts/chart13.xml"/>
  <Override ContentType="application/vnd.openxmlformats-officedocument.drawingml.chart+xml" PartName="/xl/charts/chart14.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application/vnd.openxmlformats-officedocument.drawing+xml" PartName="/xl/drawings/drawing9.xml"/>
  <Override ContentType="application/vnd.openxmlformats-officedocument.drawing+xml" PartName="/xl/drawings/drawing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openxmlformats-officedocument.themeOverride+xml" PartName="/xl/theme/themeOverrid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4470D2CD-2249-CD33-4A35-6F278624656F}"/>
  <workbookPr codeName="ThisWorkbook"/>
  <mc:AlternateContent>
    <mc:Choice Requires="x15">
      <x15ac:absPath xmlns:x15ac="http://schemas.microsoft.com/office/spreadsheetml/2010/11/ac" url="C:\GENDOC\Informes\"/>
    </mc:Choice>
  </mc:AlternateContent>
  <bookViews>
    <workbookView xWindow="0" yWindow="0" windowWidth="28800" windowHeight="12480" tabRatio="738" activeTab="13"/>
  </bookViews>
  <sheets>
    <sheet name="Portada" sheetId="1" r:id="rId1"/>
    <sheet name="Indice" sheetId="16" r:id="rId2"/>
    <sheet name="Claves" sheetId="3" r:id="rId3"/>
    <sheet name="Modelo" sheetId="4" r:id="rId4"/>
    <sheet name="C.Negocio" sheetId="5" r:id="rId5"/>
    <sheet name="Radial A" sheetId="6" r:id="rId6"/>
    <sheet name="Radial B" sheetId="7" r:id="rId7"/>
    <sheet name="Fortalezas" sheetId="9" r:id="rId8"/>
    <sheet name="AreasMejora" sheetId="10" r:id="rId9"/>
    <sheet name="Pautas" sheetId="11" r:id="rId10"/>
    <sheet name="Matriz" sheetId="13" r:id="rId11"/>
    <sheet name="PotencialMejora" sheetId="14" r:id="rId12"/>
    <sheet name="PlanMejoraPersona" sheetId="15" r:id="rId13"/>
    <sheet name="Datos" sheetId="8" r:id="rId14"/>
  </sheets>
  <definedNames>
    <definedName name="_xlnm.Print_Area" localSheetId="8">AreasMejora!$A$1:$H$45</definedName>
    <definedName name="_xlnm.Print_Area" localSheetId="4">C.Negocio!$A$1:$J$164</definedName>
    <definedName name="_xlnm.Print_Area" localSheetId="1">Indice!$A$1:$H$38</definedName>
    <definedName name="_xlnm.Print_Area" localSheetId="10">Matriz!$A$1:$I$39</definedName>
    <definedName name="_xlnm.Print_Area" localSheetId="12">PlanMejoraPersona!$A$1:$G$12</definedName>
    <definedName name="_xlnm.Print_Area" localSheetId="0">Portada!$A$1:$P$47</definedName>
    <definedName name="_xlnm.Print_Area" localSheetId="11">PotencialMejora!$A$1:$H$30</definedName>
    <definedName name="_xlnm.Print_Area" localSheetId="5">'Radial A'!$A$1:$E$38</definedName>
    <definedName name="_xlnm.Print_Area" localSheetId="6">'Radial B'!$A$1:$E$34</definedName>
  </definedNames>
  <calcPr calcId="162913"/>
  <extLst>
    <ext uri="{140A7094-0E35-4892-8432-C4D2E57EDEB5}">
      <x15:workbookPr chartTrackingRefBase="1"/>
    </ext>
  </extLst>
</workbook>
</file>

<file path=xl/calcChain.xml><?xml version="1.0" encoding="utf-8"?>
<calcChain xmlns="http://schemas.openxmlformats.org/spreadsheetml/2006/main">
  <c r="O46" i="1" l="1"/>
  <c r="B21" i="6" l="1"/>
  <c r="B20" i="6"/>
  <c r="B19" i="6"/>
  <c r="B18" i="6"/>
  <c r="B17" i="6"/>
  <c r="B16" i="6"/>
  <c r="B15" i="6"/>
  <c r="B14" i="6"/>
  <c r="B13" i="6"/>
  <c r="B12" i="6"/>
  <c r="B11" i="6"/>
  <c r="B10" i="6"/>
  <c r="C21" i="7"/>
  <c r="C20" i="7"/>
  <c r="C19" i="7"/>
  <c r="C18" i="7"/>
  <c r="C17" i="7"/>
  <c r="C16" i="7"/>
  <c r="C15" i="7"/>
  <c r="C14" i="7"/>
  <c r="C13" i="7"/>
  <c r="C12" i="7"/>
  <c r="C11" i="7"/>
  <c r="C10" i="7"/>
  <c r="B21" i="7"/>
  <c r="B20" i="7"/>
  <c r="B19" i="7"/>
  <c r="B18" i="7"/>
  <c r="B17" i="7"/>
  <c r="B16" i="7"/>
  <c r="B15" i="7"/>
  <c r="B14" i="7"/>
  <c r="B13" i="7"/>
  <c r="B12" i="7"/>
  <c r="B11" i="7"/>
  <c r="B10" i="7"/>
  <c r="M28" i="1" l="1"/>
  <c r="R4" i="8" l="1"/>
  <c r="S4" i="8"/>
  <c r="T4" i="8" l="1"/>
  <c r="S5" i="8"/>
  <c r="S6" i="8"/>
  <c r="S7" i="8"/>
  <c r="S8" i="8"/>
  <c r="S10" i="8"/>
  <c r="S11" i="8"/>
  <c r="S12" i="8"/>
  <c r="S13" i="8"/>
  <c r="S14" i="8"/>
  <c r="S16" i="8"/>
  <c r="S17" i="8"/>
  <c r="S18" i="8"/>
  <c r="S19" i="8"/>
  <c r="S20" i="8"/>
  <c r="S22" i="8"/>
  <c r="S23" i="8"/>
  <c r="S24" i="8"/>
  <c r="S25" i="8"/>
  <c r="S26" i="8"/>
  <c r="S28" i="8"/>
  <c r="S29" i="8"/>
  <c r="S30" i="8"/>
  <c r="S31" i="8"/>
  <c r="S32" i="8"/>
  <c r="S34" i="8"/>
  <c r="S35" i="8"/>
  <c r="S36" i="8"/>
  <c r="S37" i="8"/>
  <c r="S38" i="8"/>
  <c r="S40" i="8"/>
  <c r="S41" i="8"/>
  <c r="S42" i="8"/>
  <c r="S43" i="8"/>
  <c r="S44" i="8"/>
  <c r="S46" i="8"/>
  <c r="S47" i="8"/>
  <c r="S48" i="8"/>
  <c r="S49" i="8"/>
  <c r="S50" i="8"/>
  <c r="S52" i="8"/>
  <c r="S53" i="8"/>
  <c r="S54" i="8"/>
  <c r="S55" i="8"/>
  <c r="S56" i="8"/>
  <c r="S58" i="8"/>
  <c r="S59" i="8"/>
  <c r="S60" i="8"/>
  <c r="S61" i="8"/>
  <c r="S62" i="8"/>
  <c r="S64" i="8"/>
  <c r="S65" i="8"/>
  <c r="S66" i="8"/>
  <c r="S67" i="8"/>
  <c r="S68" i="8"/>
  <c r="S70" i="8"/>
  <c r="S71" i="8"/>
  <c r="S72" i="8"/>
  <c r="S73" i="8"/>
  <c r="S74" i="8"/>
  <c r="R5" i="8"/>
  <c r="R6" i="8"/>
  <c r="R7" i="8"/>
  <c r="R8" i="8"/>
  <c r="R10" i="8"/>
  <c r="R11" i="8"/>
  <c r="R12" i="8"/>
  <c r="R13" i="8"/>
  <c r="R14" i="8"/>
  <c r="R16" i="8"/>
  <c r="R17" i="8"/>
  <c r="R18" i="8"/>
  <c r="R19" i="8"/>
  <c r="R20" i="8"/>
  <c r="R22" i="8"/>
  <c r="R23" i="8"/>
  <c r="R24" i="8"/>
  <c r="R25" i="8"/>
  <c r="R26" i="8"/>
  <c r="R28" i="8"/>
  <c r="R29" i="8"/>
  <c r="R30" i="8"/>
  <c r="R31" i="8"/>
  <c r="R32" i="8"/>
  <c r="R34" i="8"/>
  <c r="R35" i="8"/>
  <c r="R36" i="8"/>
  <c r="R37" i="8"/>
  <c r="R38" i="8"/>
  <c r="R40" i="8"/>
  <c r="R41" i="8"/>
  <c r="R42" i="8"/>
  <c r="R43" i="8"/>
  <c r="R44" i="8"/>
  <c r="R46" i="8"/>
  <c r="R47" i="8"/>
  <c r="R48" i="8"/>
  <c r="R49" i="8"/>
  <c r="R50" i="8"/>
  <c r="R52" i="8"/>
  <c r="R53" i="8"/>
  <c r="R54" i="8"/>
  <c r="R55" i="8"/>
  <c r="R56" i="8"/>
  <c r="R58" i="8"/>
  <c r="R59" i="8"/>
  <c r="R60" i="8"/>
  <c r="R61" i="8"/>
  <c r="R62" i="8"/>
  <c r="R64" i="8"/>
  <c r="R65" i="8"/>
  <c r="R66" i="8"/>
  <c r="R67" i="8"/>
  <c r="R68" i="8"/>
  <c r="R70" i="8"/>
  <c r="R71" i="8"/>
  <c r="R72" i="8"/>
  <c r="R73" i="8"/>
  <c r="R74" i="8"/>
  <c r="I157" i="5"/>
  <c r="C161" i="5" s="1"/>
  <c r="I144" i="5"/>
  <c r="C148" i="5" s="1"/>
  <c r="I132" i="5"/>
  <c r="I119" i="5"/>
  <c r="I103" i="5"/>
  <c r="I91" i="5"/>
  <c r="I77" i="5"/>
  <c r="I64" i="5"/>
  <c r="I49" i="5"/>
  <c r="I36" i="5"/>
  <c r="I23" i="5"/>
  <c r="I10" i="5"/>
  <c r="Q74" i="8"/>
  <c r="Q73" i="8"/>
  <c r="Q72" i="8"/>
  <c r="Q71" i="8"/>
  <c r="Q70" i="8"/>
  <c r="Q68" i="8"/>
  <c r="Q67" i="8"/>
  <c r="Q66" i="8"/>
  <c r="Q65" i="8"/>
  <c r="Q64" i="8"/>
  <c r="Q62" i="8"/>
  <c r="Q61" i="8"/>
  <c r="Q60" i="8"/>
  <c r="Q59" i="8"/>
  <c r="Q58" i="8"/>
  <c r="Q56" i="8"/>
  <c r="Q55" i="8"/>
  <c r="Q54" i="8"/>
  <c r="Q53" i="8"/>
  <c r="Q52" i="8"/>
  <c r="Q50" i="8"/>
  <c r="Q49" i="8"/>
  <c r="Q48" i="8"/>
  <c r="Q47" i="8"/>
  <c r="Q46" i="8"/>
  <c r="Q44" i="8"/>
  <c r="Q43" i="8"/>
  <c r="Q42" i="8"/>
  <c r="Q41" i="8"/>
  <c r="Q40" i="8"/>
  <c r="Q38" i="8"/>
  <c r="Q37" i="8"/>
  <c r="Q36" i="8"/>
  <c r="Q35" i="8"/>
  <c r="Q34" i="8"/>
  <c r="Q32" i="8"/>
  <c r="Q31" i="8"/>
  <c r="Q30" i="8"/>
  <c r="Q29" i="8"/>
  <c r="Q28" i="8"/>
  <c r="Q26" i="8"/>
  <c r="Q25" i="8"/>
  <c r="Q24" i="8"/>
  <c r="Q23" i="8"/>
  <c r="Q22" i="8"/>
  <c r="Q20" i="8"/>
  <c r="Q19" i="8"/>
  <c r="Q18" i="8"/>
  <c r="Q17" i="8"/>
  <c r="Q16" i="8"/>
  <c r="Q14" i="8"/>
  <c r="Q13" i="8"/>
  <c r="Q12" i="8"/>
  <c r="Q11" i="8"/>
  <c r="Q10" i="8"/>
  <c r="Q8" i="8"/>
  <c r="Q7" i="8"/>
  <c r="Q6" i="8"/>
  <c r="Q5" i="8"/>
  <c r="Q4" i="8"/>
  <c r="T11" i="8" l="1"/>
  <c r="T72" i="8"/>
  <c r="T67" i="8"/>
  <c r="T62" i="8"/>
  <c r="T58" i="8"/>
  <c r="T53" i="8"/>
  <c r="T48" i="8"/>
  <c r="T43" i="8"/>
  <c r="T38" i="8"/>
  <c r="T34" i="8"/>
  <c r="T29" i="8"/>
  <c r="T24" i="8"/>
  <c r="T19" i="8"/>
  <c r="T74" i="8"/>
  <c r="T65" i="8"/>
  <c r="T55" i="8"/>
  <c r="T46" i="8"/>
  <c r="T36" i="8"/>
  <c r="T26" i="8"/>
  <c r="T17" i="8"/>
  <c r="T70" i="8"/>
  <c r="T60" i="8"/>
  <c r="T50" i="8"/>
  <c r="T41" i="8"/>
  <c r="T31" i="8"/>
  <c r="T22" i="8"/>
  <c r="T71" i="8"/>
  <c r="T66" i="8"/>
  <c r="T61" i="8"/>
  <c r="T59" i="8"/>
  <c r="T56" i="8"/>
  <c r="T54" i="8"/>
  <c r="T52" i="8"/>
  <c r="T49" i="8"/>
  <c r="T47" i="8"/>
  <c r="T73" i="8"/>
  <c r="T68" i="8"/>
  <c r="T64" i="8"/>
  <c r="T44" i="8"/>
  <c r="T42" i="8"/>
  <c r="T40" i="8"/>
  <c r="T37" i="8"/>
  <c r="T35" i="8"/>
  <c r="T32" i="8"/>
  <c r="T30" i="8"/>
  <c r="T28" i="8"/>
  <c r="T25" i="8"/>
  <c r="T23" i="8"/>
  <c r="T20" i="8"/>
  <c r="T18" i="8"/>
  <c r="T16" i="8"/>
  <c r="T14" i="8"/>
  <c r="T5" i="8"/>
  <c r="T13" i="8"/>
  <c r="T10" i="8"/>
  <c r="T12" i="8"/>
  <c r="T8" i="8"/>
  <c r="T7" i="8"/>
  <c r="T6" i="8"/>
  <c r="Q69" i="8"/>
  <c r="Q63" i="8"/>
  <c r="R63" i="8"/>
  <c r="Q57" i="8"/>
  <c r="Q27" i="8"/>
  <c r="C14" i="6" s="1"/>
  <c r="Q3" i="8"/>
  <c r="S3" i="8"/>
  <c r="E10" i="5" s="1"/>
  <c r="Q9" i="8"/>
  <c r="Q15" i="8"/>
  <c r="Q21" i="8"/>
  <c r="C13" i="6" s="1"/>
  <c r="Q33" i="8"/>
  <c r="C15" i="6" s="1"/>
  <c r="Q39" i="8"/>
  <c r="C16" i="6" s="1"/>
  <c r="Q45" i="8"/>
  <c r="C17" i="6" s="1"/>
  <c r="R9" i="8"/>
  <c r="R15" i="8"/>
  <c r="R3" i="8"/>
  <c r="Q51" i="8"/>
  <c r="R57" i="8"/>
  <c r="R51" i="8"/>
  <c r="R45" i="8"/>
  <c r="R39" i="8"/>
  <c r="R33" i="8"/>
  <c r="R27" i="8"/>
  <c r="R21" i="8"/>
  <c r="S63" i="8"/>
  <c r="E144" i="5" s="1"/>
  <c r="S51" i="8"/>
  <c r="E119" i="5" s="1"/>
  <c r="S39" i="8"/>
  <c r="E91" i="5" s="1"/>
  <c r="S27" i="8"/>
  <c r="E64" i="5" s="1"/>
  <c r="S15" i="8"/>
  <c r="E36" i="5" s="1"/>
  <c r="R69" i="8"/>
  <c r="S69" i="8"/>
  <c r="E157" i="5" s="1"/>
  <c r="S57" i="8"/>
  <c r="E132" i="5" s="1"/>
  <c r="S45" i="8"/>
  <c r="E103" i="5" s="1"/>
  <c r="S33" i="8"/>
  <c r="E77" i="5" s="1"/>
  <c r="S21" i="8"/>
  <c r="E49" i="5" s="1"/>
  <c r="S9" i="8"/>
  <c r="E23" i="5" s="1"/>
  <c r="C136" i="5"/>
  <c r="C123" i="5"/>
  <c r="C107" i="5"/>
  <c r="C95" i="5"/>
  <c r="C81" i="5"/>
  <c r="C68" i="5"/>
  <c r="C53" i="5"/>
  <c r="C40" i="5"/>
  <c r="C27" i="5"/>
  <c r="C14" i="5"/>
  <c r="B157" i="5" l="1"/>
  <c r="C159" i="5" s="1"/>
  <c r="C21" i="6"/>
  <c r="B144" i="5"/>
  <c r="C146" i="5" s="1"/>
  <c r="C20" i="6"/>
  <c r="B132" i="5"/>
  <c r="C134" i="5" s="1"/>
  <c r="C19" i="6"/>
  <c r="B119" i="5"/>
  <c r="C121" i="5" s="1"/>
  <c r="C18" i="6"/>
  <c r="B36" i="5"/>
  <c r="C38" i="5" s="1"/>
  <c r="C12" i="6"/>
  <c r="B23" i="5"/>
  <c r="C25" i="5" s="1"/>
  <c r="C11" i="6"/>
  <c r="B10" i="5"/>
  <c r="C12" i="5" s="1"/>
  <c r="C10" i="6"/>
  <c r="T45" i="8"/>
  <c r="T27" i="8"/>
  <c r="T51" i="8"/>
  <c r="T15" i="8"/>
  <c r="T69" i="8"/>
  <c r="T33" i="8"/>
  <c r="T57" i="8"/>
  <c r="T9" i="8"/>
  <c r="G144" i="5"/>
  <c r="C147" i="5" s="1"/>
  <c r="T63" i="8"/>
  <c r="T39" i="8"/>
  <c r="B64" i="5"/>
  <c r="C66" i="5" s="1"/>
  <c r="T21" i="8"/>
  <c r="T3" i="8"/>
  <c r="G64" i="5"/>
  <c r="C67" i="5" s="1"/>
  <c r="G36" i="5"/>
  <c r="C39" i="5" s="1"/>
  <c r="B77" i="5"/>
  <c r="C79" i="5" s="1"/>
  <c r="G157" i="5"/>
  <c r="C160" i="5" s="1"/>
  <c r="G77" i="5"/>
  <c r="C80" i="5" s="1"/>
  <c r="G23" i="5"/>
  <c r="C26" i="5" s="1"/>
  <c r="G91" i="5"/>
  <c r="C94" i="5" s="1"/>
  <c r="B103" i="5"/>
  <c r="C105" i="5" s="1"/>
  <c r="G119" i="5"/>
  <c r="C122" i="5" s="1"/>
  <c r="G132" i="5"/>
  <c r="C135" i="5" s="1"/>
  <c r="B49" i="5"/>
  <c r="C51" i="5" s="1"/>
  <c r="G49" i="5"/>
  <c r="C52" i="5" s="1"/>
  <c r="G103" i="5"/>
  <c r="C106" i="5" s="1"/>
  <c r="G10" i="5"/>
  <c r="C13" i="5" s="1"/>
  <c r="B91" i="5"/>
  <c r="C93" i="5" s="1"/>
  <c r="D21" i="7" l="1"/>
  <c r="D21" i="6"/>
  <c r="D20" i="7"/>
  <c r="D20" i="6"/>
  <c r="D19" i="6"/>
  <c r="D19" i="7"/>
  <c r="D18" i="7"/>
  <c r="D18" i="6"/>
  <c r="D17" i="7"/>
  <c r="D17" i="6"/>
  <c r="D16" i="7"/>
  <c r="D16" i="6"/>
  <c r="D15" i="6"/>
  <c r="D15" i="7"/>
  <c r="D14" i="7"/>
  <c r="D14" i="6"/>
  <c r="D13" i="7"/>
  <c r="D13" i="6"/>
  <c r="D12" i="6"/>
  <c r="D12" i="7"/>
  <c r="D11" i="6"/>
  <c r="D11" i="7"/>
  <c r="D10" i="6"/>
  <c r="D10" i="7"/>
</calcChain>
</file>

<file path=xl/sharedStrings.xml><?xml version="1.0" encoding="utf-8"?>
<sst xmlns="http://schemas.openxmlformats.org/spreadsheetml/2006/main" count="589" uniqueCount="294">
  <si>
    <t>MODELO DE COMPETENCIAS</t>
  </si>
  <si>
    <t>VALORACIÓN DE LAS COMPETENCIAS</t>
  </si>
  <si>
    <t>MAPA RADIAL A: ZONAS CIEGAS</t>
  </si>
  <si>
    <t>FORTALEZAS</t>
  </si>
  <si>
    <t>ÁREAS DE MEJORA</t>
  </si>
  <si>
    <t>PAUTAS PARA EL PLAN DE MEJORA</t>
  </si>
  <si>
    <t>Autoevaluación</t>
  </si>
  <si>
    <t>No Subordinados</t>
  </si>
  <si>
    <t>Subordinados</t>
  </si>
  <si>
    <t>Media TopTen</t>
  </si>
  <si>
    <t>AutoEvaluación</t>
  </si>
  <si>
    <t>Media Externa</t>
  </si>
  <si>
    <t>Autocontrol y Equilibrio</t>
  </si>
  <si>
    <t>Negociación</t>
  </si>
  <si>
    <t>Comunicación</t>
  </si>
  <si>
    <t>Delegación</t>
  </si>
  <si>
    <t>DESCRIPCIÓN</t>
  </si>
  <si>
    <t>AUTOEVAL</t>
  </si>
  <si>
    <t>A.1</t>
  </si>
  <si>
    <t>Conoce bien los objetivos y prioridades de la empresa.</t>
  </si>
  <si>
    <t>B.1</t>
  </si>
  <si>
    <t>Conoce las diferentes tipológias de cliente y se adapta a sus características.</t>
  </si>
  <si>
    <t>C.1</t>
  </si>
  <si>
    <t>Muestra capacidad para intuir los contactos que aportan valor a la empresa.</t>
  </si>
  <si>
    <t>D.1</t>
  </si>
  <si>
    <t>Planifica adecuadamente los procesos de negociación.</t>
  </si>
  <si>
    <t>E.1</t>
  </si>
  <si>
    <t>Sabe escuchar a su interlocutor sin interrumpirle.</t>
  </si>
  <si>
    <t>F.1</t>
  </si>
  <si>
    <t>Conoce bien las capacidades de cada miembro del equipo.</t>
  </si>
  <si>
    <t>G.1</t>
  </si>
  <si>
    <t>Orienta al equipo hacia la consecución de objetivos.</t>
  </si>
  <si>
    <t>H.1</t>
  </si>
  <si>
    <t>Dedica tiempo a desarrollar el potencial de cada uno de sus colaboradores.</t>
  </si>
  <si>
    <t>I.1</t>
  </si>
  <si>
    <t>Muestra capacidad para intuir y anticiparse a los problemas.</t>
  </si>
  <si>
    <t>J.1</t>
  </si>
  <si>
    <t>Sabe distinguir lo urgente de lo importante.</t>
  </si>
  <si>
    <t>K.1</t>
  </si>
  <si>
    <t>Tiene capacidad para incorporar nuevos procedimientos.</t>
  </si>
  <si>
    <t>L.1</t>
  </si>
  <si>
    <t>Mantiene la serenidad en situaciones de tensión.</t>
  </si>
  <si>
    <t>A.4</t>
  </si>
  <si>
    <t>Se anticipa a los riesgos del negocio.</t>
  </si>
  <si>
    <t>B.4</t>
  </si>
  <si>
    <t>Sabe gestionar adecuadamente las reclamaciones o quejas de sus clientes.</t>
  </si>
  <si>
    <t>C.4</t>
  </si>
  <si>
    <t>Dedica tiempo a cultivar y fortalecer contactos profesionales.</t>
  </si>
  <si>
    <t>D.4</t>
  </si>
  <si>
    <t>Sabe cerrar una negociación en el momento oportuno.</t>
  </si>
  <si>
    <t>E.4</t>
  </si>
  <si>
    <t>Maneja el lenguaje no verbal con naturalidad: gestos, pausas, etc.</t>
  </si>
  <si>
    <t>F.4</t>
  </si>
  <si>
    <t>Realiza un buen seguimiento de las tareas delegadas.</t>
  </si>
  <si>
    <t>G.4</t>
  </si>
  <si>
    <t>Sabe motivar e ilusionar a los miembros del equipo frente a las dificultades.</t>
  </si>
  <si>
    <t>H.4</t>
  </si>
  <si>
    <t>Se preocupa de la formación y crecimiento de sus colaboradores.</t>
  </si>
  <si>
    <t>I.4</t>
  </si>
  <si>
    <t>Toma decisiones en el momento oportuno.</t>
  </si>
  <si>
    <t>J.4</t>
  </si>
  <si>
    <t>Es puntual en las citas y con sus compromisos.</t>
  </si>
  <si>
    <t>K.4</t>
  </si>
  <si>
    <t>Se rehace con rapidez cuando sufre una contrariedad.</t>
  </si>
  <si>
    <t>L.4</t>
  </si>
  <si>
    <t>Sabe rectificar después de un error.</t>
  </si>
  <si>
    <t>A.3</t>
  </si>
  <si>
    <t>Analiza el entorno para aprovechar las oportunidades de negocio.</t>
  </si>
  <si>
    <t>B.3</t>
  </si>
  <si>
    <t>Tiene capacidad para fidelizar a sus clientes.</t>
  </si>
  <si>
    <t>C.3</t>
  </si>
  <si>
    <t>Tiene capacidad para mantener una red de contactos extensa.</t>
  </si>
  <si>
    <t>D.3</t>
  </si>
  <si>
    <t>Tiene capacidad para hacerse cargo de las necesidades de su interlocutor.</t>
  </si>
  <si>
    <t>E.3</t>
  </si>
  <si>
    <t>F.3</t>
  </si>
  <si>
    <t>Sigue un buen método para delegar.</t>
  </si>
  <si>
    <t>G.3</t>
  </si>
  <si>
    <t>Logra el consenso e integración con todos los miembros del equipo.</t>
  </si>
  <si>
    <t>H.3</t>
  </si>
  <si>
    <t>Motiva al desarrollo a sus colaboradores.</t>
  </si>
  <si>
    <t>I.3</t>
  </si>
  <si>
    <t>Llega a la raíz o núcleo del problema.</t>
  </si>
  <si>
    <t>J.3</t>
  </si>
  <si>
    <t>K.3</t>
  </si>
  <si>
    <t>Dedica tiempo al aprendizaje y a su propia mejora.</t>
  </si>
  <si>
    <t>L.3</t>
  </si>
  <si>
    <t>A.2</t>
  </si>
  <si>
    <t>Se mantiene al día sobre las mejores prácticas del mercado y del sector.</t>
  </si>
  <si>
    <t>B.2</t>
  </si>
  <si>
    <t>C.2</t>
  </si>
  <si>
    <t>Tiene una sociabilidad espontánea que le facilita establecer contacto de forma rápida.</t>
  </si>
  <si>
    <t>D.2</t>
  </si>
  <si>
    <t>Muestra una actitud abierta y positiva en los procesos de negociación.</t>
  </si>
  <si>
    <t>E.2</t>
  </si>
  <si>
    <t>Se hace cargo de la situación de su interlocutor.</t>
  </si>
  <si>
    <t>F.2</t>
  </si>
  <si>
    <t>Dedica tiempo y esfuerzo a delegar todo lo que puede.</t>
  </si>
  <si>
    <t>G.2</t>
  </si>
  <si>
    <t>Sabe dirigir a personas que muestran un perfil diferente.</t>
  </si>
  <si>
    <t>H.2</t>
  </si>
  <si>
    <t>Conoce los intereses y motivaciones de sus colaboradores.</t>
  </si>
  <si>
    <t>I.2</t>
  </si>
  <si>
    <t>Es capaz de analizar una situación desde diferentes perspectivas.</t>
  </si>
  <si>
    <t>J.2</t>
  </si>
  <si>
    <t>Dedica su mayor esfuerzo a lo importante.</t>
  </si>
  <si>
    <t>K.2</t>
  </si>
  <si>
    <t>L.2</t>
  </si>
  <si>
    <t>Muestra equilibrio en situaciones difíciles.</t>
  </si>
  <si>
    <t>A.5</t>
  </si>
  <si>
    <t>Conoce la cadena de valor de la empresa y cómo mejorarla.</t>
  </si>
  <si>
    <t>B.5</t>
  </si>
  <si>
    <t>Se adelanta a las necesidades de sus clientes.</t>
  </si>
  <si>
    <t>C.5</t>
  </si>
  <si>
    <t>Es capaz de rentabilizar su red de contactos.</t>
  </si>
  <si>
    <t>D.5</t>
  </si>
  <si>
    <t>Logra sus objetivos sin dañar la relación con la otra parte negociadora.</t>
  </si>
  <si>
    <t>E.5</t>
  </si>
  <si>
    <t>F.5</t>
  </si>
  <si>
    <t>Reta a su equipo para que crezcan en sus capacidades y responsabilidades.</t>
  </si>
  <si>
    <t>G.5</t>
  </si>
  <si>
    <t>Impulsa la colaboración entre todos los miembros del equipo.</t>
  </si>
  <si>
    <t>H.5</t>
  </si>
  <si>
    <t>Tiene habilidad para proponer planes de mejora claros y sencillos.</t>
  </si>
  <si>
    <t>I.5</t>
  </si>
  <si>
    <t>Hace un seguimiento adecuado de los acuerdos adoptados.</t>
  </si>
  <si>
    <t>J.5</t>
  </si>
  <si>
    <t>K.5</t>
  </si>
  <si>
    <t>Es persistente en sus metas y objetivos.</t>
  </si>
  <si>
    <t>L.5</t>
  </si>
  <si>
    <t>Genera un clima positivo en su entorno.</t>
  </si>
  <si>
    <t>A</t>
  </si>
  <si>
    <t>B</t>
  </si>
  <si>
    <t>Orientación al cliente</t>
  </si>
  <si>
    <t>C</t>
  </si>
  <si>
    <t>Networking</t>
  </si>
  <si>
    <t>D</t>
  </si>
  <si>
    <t>E</t>
  </si>
  <si>
    <t>F</t>
  </si>
  <si>
    <t>G</t>
  </si>
  <si>
    <t>Dirección de equipos</t>
  </si>
  <si>
    <t>H</t>
  </si>
  <si>
    <t>Gestión del talento</t>
  </si>
  <si>
    <t>I</t>
  </si>
  <si>
    <t>Análisis de problemas y Toma de decisiones</t>
  </si>
  <si>
    <t>J</t>
  </si>
  <si>
    <t>Gestion del tiempo y Priorización</t>
  </si>
  <si>
    <t>K</t>
  </si>
  <si>
    <t>L</t>
  </si>
  <si>
    <t>Visión estratégica de negocio</t>
  </si>
  <si>
    <t>SUB1</t>
  </si>
  <si>
    <t>SUB2</t>
  </si>
  <si>
    <t>SUB3</t>
  </si>
  <si>
    <t>SUB4</t>
  </si>
  <si>
    <t>SUB5</t>
  </si>
  <si>
    <t>SUB6</t>
  </si>
  <si>
    <t>NoSub1</t>
  </si>
  <si>
    <t>NoSub2</t>
  </si>
  <si>
    <t>NoSub3</t>
  </si>
  <si>
    <t>NoSub4</t>
  </si>
  <si>
    <t>NoSub5</t>
  </si>
  <si>
    <t>PROMEDIO SUB</t>
  </si>
  <si>
    <t>PROMEDIO NOSUB</t>
  </si>
  <si>
    <t>MEDIA TOP-TEN</t>
  </si>
  <si>
    <t>PROMEDIO AUTOEVAL</t>
  </si>
  <si>
    <t>AUTOEVALUACIÓN</t>
  </si>
  <si>
    <t>MEJORAS</t>
  </si>
  <si>
    <t>EVALUACIONES EXTERNAS</t>
  </si>
  <si>
    <t>Competencia</t>
  </si>
  <si>
    <t>P</t>
  </si>
  <si>
    <t>Nombre:</t>
  </si>
  <si>
    <t xml:space="preserve">Fecha: </t>
  </si>
  <si>
    <t>Competencia 1</t>
  </si>
  <si>
    <t>Comportamiento 1</t>
  </si>
  <si>
    <t>Accion Prevista</t>
  </si>
  <si>
    <t>Comportamiento 2</t>
  </si>
  <si>
    <t>Comportamiento 3</t>
  </si>
  <si>
    <t>NO TOCAR ESTA PÁGINA.</t>
  </si>
  <si>
    <t>SE RELLENARÁ DE FORMA AUTOMÁTICA CON EL PROGRAMA.
Solo se debería informar el campo "Media Top-Ten"</t>
  </si>
  <si>
    <t>I.</t>
  </si>
  <si>
    <t>II.</t>
  </si>
  <si>
    <t>III.</t>
  </si>
  <si>
    <t>IV.</t>
  </si>
  <si>
    <t>V.</t>
  </si>
  <si>
    <t>VI.</t>
  </si>
  <si>
    <t>VII.</t>
  </si>
  <si>
    <t>VIII.</t>
  </si>
  <si>
    <t>IX.</t>
  </si>
  <si>
    <r>
      <rPr>
        <b/>
        <sz val="12"/>
        <color theme="1"/>
        <rFont val="Calibri"/>
        <family val="2"/>
        <scheme val="minor"/>
      </rPr>
      <t>P</t>
    </r>
    <r>
      <rPr>
        <sz val="12"/>
        <color theme="1"/>
        <rFont val="Calibri"/>
        <family val="2"/>
        <scheme val="minor"/>
      </rPr>
      <t xml:space="preserve"> = Potencial de mejora</t>
    </r>
  </si>
  <si>
    <r>
      <rPr>
        <b/>
        <sz val="12"/>
        <color theme="1"/>
        <rFont val="Calibri"/>
        <family val="2"/>
        <scheme val="minor"/>
      </rPr>
      <t>I</t>
    </r>
    <r>
      <rPr>
        <sz val="12"/>
        <color theme="1"/>
        <rFont val="Calibri"/>
        <family val="2"/>
        <scheme val="minor"/>
      </rPr>
      <t xml:space="preserve"> = Importancia para el puesto</t>
    </r>
  </si>
  <si>
    <r>
      <rPr>
        <b/>
        <sz val="12"/>
        <color theme="1"/>
        <rFont val="Calibri"/>
        <family val="2"/>
        <scheme val="minor"/>
      </rPr>
      <t>A</t>
    </r>
    <r>
      <rPr>
        <sz val="12"/>
        <color theme="1"/>
        <rFont val="Calibri"/>
        <family val="2"/>
        <scheme val="minor"/>
      </rPr>
      <t xml:space="preserve"> = Actitud hacia esa competencia</t>
    </r>
  </si>
  <si>
    <t>Indice</t>
  </si>
  <si>
    <t>Página</t>
  </si>
  <si>
    <r>
      <t>CLAVES PARA EL ANÁLISIS DEL FEEDBACK 360</t>
    </r>
    <r>
      <rPr>
        <b/>
        <sz val="14"/>
        <color theme="1"/>
        <rFont val="Century Gothic"/>
        <family val="2"/>
      </rPr>
      <t>°</t>
    </r>
  </si>
  <si>
    <t>I.      CLAVES PARA EL ANÁLISIS DEL FEEDBACK 360°</t>
  </si>
  <si>
    <t>II.     MODELO DE COMPETENCIAS DIRECTIVAS</t>
  </si>
  <si>
    <t>III.      VALORACIÓN DE LAS COMPETENCIAS</t>
  </si>
  <si>
    <t>IV.      MAPA RADIAL A: ZONAS CIEGAS</t>
  </si>
  <si>
    <t>VII.      ÁREAS DE MEJORA</t>
  </si>
  <si>
    <t>VI.      FORTALEZAS</t>
  </si>
  <si>
    <t>VIII.   PAUTAS PARA EL PLAN DE MEJORA</t>
  </si>
  <si>
    <r>
      <rPr>
        <b/>
        <sz val="12"/>
        <rFont val="Calibri"/>
        <family val="2"/>
        <scheme val="minor"/>
      </rPr>
      <t>O</t>
    </r>
    <r>
      <rPr>
        <sz val="12"/>
        <rFont val="Calibri"/>
        <family val="2"/>
        <scheme val="minor"/>
      </rPr>
      <t xml:space="preserve"> = Oportunidad para la mejora</t>
    </r>
  </si>
  <si>
    <t>P = I x A x O</t>
  </si>
  <si>
    <t>V.      MAPA RADIAL B: COMPARATIVA CON TOPTEN</t>
  </si>
  <si>
    <t>X.</t>
  </si>
  <si>
    <r>
      <t>MATRIZ FEEDBACK 360</t>
    </r>
    <r>
      <rPr>
        <b/>
        <sz val="14"/>
        <color theme="1"/>
        <rFont val="Century Gothic"/>
        <family val="2"/>
      </rPr>
      <t>°</t>
    </r>
  </si>
  <si>
    <t>POTENCIAL DE MEJORA</t>
  </si>
  <si>
    <t>XI.</t>
  </si>
  <si>
    <t>PLAN DE MEJORA</t>
  </si>
  <si>
    <t>MAPA RADIAL B: COMPARATIVA CON TOPTEN</t>
  </si>
  <si>
    <r>
      <t>IX.  MATRIZ FEEDBACK 360</t>
    </r>
    <r>
      <rPr>
        <b/>
        <sz val="14"/>
        <color theme="1"/>
        <rFont val="Century Gothic"/>
        <family val="2"/>
      </rPr>
      <t>°</t>
    </r>
  </si>
  <si>
    <t>X.  POTENCIAL DE MEJORA</t>
  </si>
  <si>
    <t>XI.  PLAN DE MEJORA</t>
  </si>
  <si>
    <t>Sabe decir que no cuando es necesario.</t>
  </si>
  <si>
    <t>Se muestra abierto y positivo frente a las nuevas situaciones o circunstancias.</t>
  </si>
  <si>
    <t>MEDIA EXTERNA</t>
  </si>
  <si>
    <t>Comunica de forma clara e inequívoca.</t>
  </si>
  <si>
    <t>Sabe ganarse la confianza de sus clientes (internos y externos).</t>
  </si>
  <si>
    <t>Expresa sus ideas sin herir a su interlocutor.</t>
  </si>
  <si>
    <t>Realiza una planificación realista y exigente de sus metas.</t>
  </si>
  <si>
    <t>Es conciliador y ecuánime en las situaciones de conflicto.</t>
  </si>
  <si>
    <t>O</t>
  </si>
  <si>
    <t xml:space="preserve"> </t>
  </si>
  <si>
    <t xml:space="preserve"> · </t>
  </si>
  <si>
    <t>Nombre y Apellidos</t>
  </si>
  <si>
    <t>ÁREAS de MEJOA</t>
  </si>
  <si>
    <t>Conocer mejor los objetivos y prioridades de la empresa.</t>
  </si>
  <si>
    <t>Mantenerse al día sobre las mejores prácticas del mercado y del sector.</t>
  </si>
  <si>
    <t>Analizar más el entorno para aprovechar las oportunidades de negocio</t>
  </si>
  <si>
    <t>Anticiparse a los posibles riesgos del negocio.</t>
  </si>
  <si>
    <t>Conocer mejor la cadena de valor de la empresa.</t>
  </si>
  <si>
    <t>Conocer mejor y adaptarse a las diferentes tipologías de cliente.</t>
  </si>
  <si>
    <t>Ganarse la confianza de los clientes.</t>
  </si>
  <si>
    <t>Mejorar la capacidad para fidelizar a los clientes a largo plazo.</t>
  </si>
  <si>
    <t>Mejorar la gestión de quejas y reclamaciones de los clientes.</t>
  </si>
  <si>
    <t>Adelantarse a las necesidades de los clientes.</t>
  </si>
  <si>
    <t>Analizar los posibles contactos que aportan valor a la empresa.</t>
  </si>
  <si>
    <t>Mejorar la sociabilidad para ampliar los contactos.</t>
  </si>
  <si>
    <t>Procurar ampliar la red de contactos.</t>
  </si>
  <si>
    <t>Dedicar más tiempo a las relaciones profesionales.</t>
  </si>
  <si>
    <t>Aprovechar mejor la red de contactos.</t>
  </si>
  <si>
    <t>Analizar y preparar una negociación antes de realizarla.</t>
  </si>
  <si>
    <t>Mostrarse más abierto y cercano en las negociaciones.</t>
  </si>
  <si>
    <t>Intuir qué necesidades tiene la otra parte negociadora.</t>
  </si>
  <si>
    <t>Aprender a cerrar un proceso de negociación en el momento oportuno.</t>
  </si>
  <si>
    <t>Cuidar la empatía en los procesos de negociación.</t>
  </si>
  <si>
    <t>Mostrar una escucha más activa a nuestro interlocutor.</t>
  </si>
  <si>
    <t>Muestrar más empatía con los interlocutores.</t>
  </si>
  <si>
    <t>Comunicar de forma clara e inequívoca.</t>
  </si>
  <si>
    <t>Utilizar un lenguaje no verbal más amistoso.</t>
  </si>
  <si>
    <t>Aprender a corregir sin herir a las personas.</t>
  </si>
  <si>
    <t>Dedicar más tiempo a analizar las diferentes capacidades del equipo.</t>
  </si>
  <si>
    <t>Dedicar más tiempo a delegar.</t>
  </si>
  <si>
    <t>Utilizar un buen método para la delegación.</t>
  </si>
  <si>
    <t>Hacer un mejor seguimiento de las tareas delegadas.</t>
  </si>
  <si>
    <t>Retar más a las personas del equipo.</t>
  </si>
  <si>
    <t>Asegurar que los objetivos del equipo son claros e inequívocos.</t>
  </si>
  <si>
    <t>Adaptarse mejor a los distintos miembros del equipo.</t>
  </si>
  <si>
    <t>Buscar más la visión compartida con todos los miembros del equipo.</t>
  </si>
  <si>
    <t>Mostrarse más animante y positivo con el equipo.</t>
  </si>
  <si>
    <t>Impulsar más la colaboración mutua dentro del equipo.</t>
  </si>
  <si>
    <t>Dedicar más tiempo a cada colaborador.</t>
  </si>
  <si>
    <t>Conocer mejor los intereses y motivaciones de sus colaboradores.</t>
  </si>
  <si>
    <t>Ayudar más al desarrollo de los colaboradores.</t>
  </si>
  <si>
    <t>Apoyar más la formación de sus colaboradores.</t>
  </si>
  <si>
    <t>Aprender a sugerir planes de mejora para cada colaborador.</t>
  </si>
  <si>
    <t>Aprender a anticiparse a los problemas.</t>
  </si>
  <si>
    <t>Buscar diversas perspectivas para analizar los problemas.</t>
  </si>
  <si>
    <t>Acertar más en el diagnóstico y núcleo del problema.</t>
  </si>
  <si>
    <t>Tomar decisiones en el momento oportuno.</t>
  </si>
  <si>
    <t>Realizar un mejor seguimiento de los compromisos adoptados.</t>
  </si>
  <si>
    <t>Dedicar tiempo a distinguir lo urgente de lo importante.</t>
  </si>
  <si>
    <t>Dedicar más energía a lo importante.</t>
  </si>
  <si>
    <t>Blindarse frente a los ladrones de tiempo.</t>
  </si>
  <si>
    <t>Mejorar en puntualidad y en los compromisos con fecha límite.</t>
  </si>
  <si>
    <t>Planificar mejor las metas intermedias que conlleva una tarea compleja.</t>
  </si>
  <si>
    <t>Incorporar con prontitud nuevos procedimientos.</t>
  </si>
  <si>
    <t>Mostrarse más abierto frente a las nuevas situaciones.</t>
  </si>
  <si>
    <t>Dedicar más tiempo a mi propia mejora.</t>
  </si>
  <si>
    <t>Recuperarse con prontitud tras un obstáculo o contrariedad.</t>
  </si>
  <si>
    <t>Ser más persistente en sus metas y objetivos.</t>
  </si>
  <si>
    <t>Mantener la serenidad en situaciones de tensión.</t>
  </si>
  <si>
    <t>Evitar las reacciones desmesuradas o exageradas.</t>
  </si>
  <si>
    <t>Mostrarse más conciliador en situaciones de conflicto.</t>
  </si>
  <si>
    <t>Mostrar que se rectifica después de un error.</t>
  </si>
  <si>
    <t>Ser más positivo e ilusionante en mi entorno.</t>
  </si>
  <si>
    <r>
      <t>PARA GENERAR EL INFORME EN FORMATO PDF UTILICE LAS TECLAS</t>
    </r>
    <r>
      <rPr>
        <b/>
        <sz val="16"/>
        <color rgb="FF0070C0"/>
        <rFont val="Calibri"/>
        <family val="2"/>
        <scheme val="minor"/>
      </rPr>
      <t xml:space="preserve"> CTRL + i</t>
    </r>
  </si>
  <si>
    <t>Gestión del cambio y Aprendizaje</t>
  </si>
  <si>
    <t>usuario 1</t>
  </si>
  <si>
    <t>1</t>
  </si>
  <si>
    <t>3</t>
  </si>
  <si>
    <t>5</t>
  </si>
  <si>
    <t>2</t>
  </si>
  <si>
    <t>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</si>
</sst>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_-* #,##0.00_-;\-* #,##0.00_-;_-* &quot;-&quot;??_-;_-@_-"/>
    <numFmt numFmtId="165" formatCode="_-* #,##0_-;\-* #,##0_-;_-* &quot;-&quot;??_-;_-@_-"/>
    <numFmt numFmtId="166" formatCode="[$-C0A]mmmm\-yyyy;@"/>
  </numFmts>
  <fonts count="36">
    <font>
      <sz val="11"/>
      <color theme="1"/>
      <name val="Calibri"/>
      <family val="2"/>
      <scheme val="minor"/>
    </font>
    <font>
      <sz val="12"/>
      <color theme="1"/>
      <name val="Calibri"/>
      <family val="2"/>
      <scheme val="minor"/>
    </font>
    <font>
      <b/>
      <sz val="11"/>
      <color theme="1"/>
      <name val="Calibri"/>
      <family val="2"/>
      <scheme val="minor"/>
    </font>
    <font>
      <sz val="18"/>
      <color theme="1"/>
      <name val="Calibri"/>
      <family val="2"/>
      <scheme val="minor"/>
    </font>
    <font>
      <b/>
      <sz val="14"/>
      <color theme="1"/>
      <name val="Calibri"/>
      <family val="2"/>
      <scheme val="minor"/>
    </font>
    <font>
      <b/>
      <sz val="20"/>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10"/>
      <name val="Arial"/>
      <family val="2"/>
    </font>
    <font>
      <sz val="10"/>
      <name val="Arial"/>
      <family val="2"/>
    </font>
    <font>
      <sz val="8"/>
      <name val="Calibri"/>
      <family val="2"/>
      <scheme val="minor"/>
    </font>
    <font>
      <sz val="12"/>
      <color theme="1"/>
      <name val="Calibri"/>
      <family val="2"/>
      <scheme val="minor"/>
    </font>
    <font>
      <sz val="14"/>
      <color theme="1"/>
      <name val="Calibri"/>
      <family val="2"/>
      <scheme val="minor"/>
    </font>
    <font>
      <b/>
      <sz val="16"/>
      <color theme="1"/>
      <name val="Calibri"/>
      <family val="2"/>
      <scheme val="minor"/>
    </font>
    <font>
      <b/>
      <sz val="12"/>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color theme="1"/>
      <name val="Helvetica"/>
      <family val="2"/>
    </font>
    <font>
      <b/>
      <sz val="14"/>
      <color theme="1"/>
      <name val="Century Gothic"/>
      <family val="2"/>
    </font>
    <font>
      <sz val="12"/>
      <name val="Calibri"/>
      <family val="2"/>
      <scheme val="minor"/>
    </font>
    <font>
      <b/>
      <sz val="12"/>
      <name val="Calibri"/>
      <family val="2"/>
      <scheme val="minor"/>
    </font>
    <font>
      <b/>
      <sz val="16"/>
      <name val="Calibri"/>
      <family val="2"/>
      <scheme val="minor"/>
    </font>
    <font>
      <sz val="14"/>
      <name val="Calibri"/>
      <family val="2"/>
      <scheme val="minor"/>
    </font>
    <font>
      <b/>
      <sz val="14"/>
      <name val="Calibri"/>
      <family val="2"/>
      <scheme val="minor"/>
    </font>
    <font>
      <b/>
      <sz val="14"/>
      <name val="Calibri (Cuerpo)"/>
    </font>
    <font>
      <sz val="11"/>
      <color rgb="FF000000"/>
      <name val="Calibri"/>
      <family val="2"/>
      <scheme val="minor"/>
    </font>
    <font>
      <b/>
      <sz val="18"/>
      <color rgb="FF000000"/>
      <name val="Calibri"/>
      <family val="2"/>
      <scheme val="minor"/>
    </font>
    <font>
      <b/>
      <i/>
      <sz val="16"/>
      <color theme="1"/>
      <name val="Calibri"/>
      <family val="2"/>
      <scheme val="minor"/>
    </font>
    <font>
      <sz val="10"/>
      <name val="Arial"/>
      <family val="2"/>
    </font>
    <font>
      <u/>
      <sz val="11"/>
      <color theme="1"/>
      <name val="Calibri"/>
      <family val="2"/>
      <scheme val="minor"/>
    </font>
    <font>
      <b/>
      <sz val="11"/>
      <color indexed="8"/>
      <name val="Calibri"/>
      <family val="2"/>
      <scheme val="minor"/>
    </font>
    <font>
      <b/>
      <sz val="12"/>
      <color rgb="FF0070C0"/>
      <name val="Calibri"/>
      <family val="2"/>
      <scheme val="minor"/>
    </font>
    <font>
      <b/>
      <sz val="16"/>
      <color rgb="FF0070C0"/>
      <name val="Calibri"/>
      <family val="2"/>
      <scheme val="minor"/>
    </font>
  </fonts>
  <fills count="7">
    <fill>
      <patternFill patternType="none"/>
    </fill>
    <fill>
      <patternFill patternType="gray125"/>
    </fill>
    <fill>
      <patternFill patternType="solid">
        <fgColor rgb="FF002060"/>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00"/>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s>
  <cellStyleXfs count="7">
    <xf numFmtId="0" fontId="0" fillId="0" borderId="0"/>
    <xf numFmtId="164" fontId="6" fillId="0" borderId="0" applyFont="0" applyFill="0" applyBorder="0" applyAlignment="0" applyProtection="0"/>
    <xf numFmtId="0" fontId="10" fillId="0" borderId="0"/>
    <xf numFmtId="0" fontId="11" fillId="0" borderId="0"/>
    <xf numFmtId="164" fontId="6" fillId="0" borderId="0" applyFont="0" applyFill="0" applyBorder="0" applyAlignment="0" applyProtection="0"/>
    <xf numFmtId="0" fontId="31" fillId="0" borderId="0"/>
    <xf numFmtId="0" fontId="10" fillId="0" borderId="0"/>
  </cellStyleXfs>
  <cellXfs count="105">
    <xf numFmtId="0" fontId="0" fillId="0" borderId="0" xfId="0"/>
    <xf numFmtId="0" fontId="0" fillId="0" borderId="0" xfId="0" applyAlignment="1">
      <alignment horizontal="center"/>
    </xf>
    <xf numFmtId="0" fontId="4" fillId="0" borderId="0" xfId="0" applyFont="1"/>
    <xf numFmtId="0" fontId="2" fillId="0" borderId="0" xfId="0" applyFont="1"/>
    <xf numFmtId="0" fontId="5" fillId="0" borderId="0" xfId="0" applyFont="1"/>
    <xf numFmtId="0" fontId="9" fillId="0" borderId="0" xfId="0" applyFont="1"/>
    <xf numFmtId="0" fontId="0" fillId="0" borderId="1" xfId="0" applyBorder="1"/>
    <xf numFmtId="0" fontId="9" fillId="0" borderId="1" xfId="0" applyFont="1" applyBorder="1"/>
    <xf numFmtId="164" fontId="0" fillId="0" borderId="0" xfId="0" applyNumberFormat="1"/>
    <xf numFmtId="0" fontId="2" fillId="0" borderId="0" xfId="0" applyFont="1" applyFill="1" applyBorder="1" applyAlignment="1">
      <alignment textRotation="90"/>
    </xf>
    <xf numFmtId="0" fontId="8" fillId="2" borderId="1" xfId="0" applyFont="1" applyFill="1" applyBorder="1"/>
    <xf numFmtId="0" fontId="7" fillId="2" borderId="1" xfId="0" applyFont="1" applyFill="1" applyBorder="1"/>
    <xf numFmtId="0" fontId="8" fillId="2" borderId="2" xfId="0" applyFont="1" applyFill="1" applyBorder="1"/>
    <xf numFmtId="0" fontId="8" fillId="2" borderId="3" xfId="0" applyFont="1" applyFill="1" applyBorder="1"/>
    <xf numFmtId="0" fontId="8" fillId="2" borderId="0" xfId="0" applyFont="1" applyFill="1"/>
    <xf numFmtId="164" fontId="7" fillId="2" borderId="0" xfId="0" applyNumberFormat="1" applyFont="1" applyFill="1"/>
    <xf numFmtId="0" fontId="9" fillId="0" borderId="4" xfId="0" applyFont="1" applyBorder="1" applyAlignment="1">
      <alignment textRotation="90"/>
    </xf>
    <xf numFmtId="0" fontId="8" fillId="2" borderId="5" xfId="0" applyFont="1" applyFill="1" applyBorder="1"/>
    <xf numFmtId="0" fontId="0" fillId="0" borderId="7" xfId="0" applyBorder="1" applyAlignment="1">
      <alignment textRotation="90"/>
    </xf>
    <xf numFmtId="0" fontId="0" fillId="0" borderId="8" xfId="0" applyBorder="1" applyAlignment="1">
      <alignment textRotation="90"/>
    </xf>
    <xf numFmtId="0" fontId="0" fillId="0" borderId="9" xfId="0" applyBorder="1" applyAlignment="1">
      <alignment textRotation="90"/>
    </xf>
    <xf numFmtId="0" fontId="8" fillId="2" borderId="10" xfId="0" applyFont="1" applyFill="1" applyBorder="1"/>
    <xf numFmtId="0" fontId="8" fillId="2" borderId="11" xfId="0" applyFont="1" applyFill="1" applyBorder="1"/>
    <xf numFmtId="164" fontId="0" fillId="4" borderId="0" xfId="0" applyNumberFormat="1" applyFill="1"/>
    <xf numFmtId="164" fontId="0" fillId="3" borderId="0" xfId="0" applyNumberFormat="1" applyFill="1"/>
    <xf numFmtId="164" fontId="0" fillId="5" borderId="0" xfId="0" applyNumberFormat="1" applyFill="1"/>
    <xf numFmtId="0" fontId="15" fillId="0" borderId="0" xfId="0" applyFont="1" applyAlignment="1"/>
    <xf numFmtId="0" fontId="13" fillId="0" borderId="0" xfId="0" applyFont="1"/>
    <xf numFmtId="0" fontId="0" fillId="0" borderId="12" xfId="0" applyBorder="1"/>
    <xf numFmtId="0" fontId="0" fillId="0" borderId="14" xfId="0" applyBorder="1"/>
    <xf numFmtId="0" fontId="0" fillId="0" borderId="1" xfId="0" applyBorder="1" applyAlignment="1">
      <alignment horizontal="center"/>
    </xf>
    <xf numFmtId="0" fontId="0" fillId="0" borderId="13"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15" fillId="0" borderId="0" xfId="0" applyFont="1" applyAlignment="1">
      <alignment vertical="center"/>
    </xf>
    <xf numFmtId="0" fontId="16" fillId="0" borderId="1" xfId="0" applyFont="1" applyBorder="1" applyAlignment="1">
      <alignment horizontal="left" vertical="center"/>
    </xf>
    <xf numFmtId="0" fontId="13" fillId="0" borderId="1" xfId="0" applyFont="1" applyBorder="1" applyAlignment="1">
      <alignment horizontal="left" vertical="center"/>
    </xf>
    <xf numFmtId="0" fontId="13" fillId="0" borderId="0" xfId="0" applyFont="1" applyBorder="1" applyAlignment="1">
      <alignment horizontal="left" vertical="center"/>
    </xf>
    <xf numFmtId="0" fontId="13" fillId="0" borderId="0" xfId="0" applyFont="1" applyBorder="1" applyAlignment="1">
      <alignment horizontal="center" vertical="center" wrapText="1"/>
    </xf>
    <xf numFmtId="0" fontId="13" fillId="0" borderId="0" xfId="0" applyFont="1" applyBorder="1" applyAlignment="1">
      <alignment horizontal="center" vertical="center"/>
    </xf>
    <xf numFmtId="0" fontId="14" fillId="0" borderId="0" xfId="0" applyFont="1" applyAlignment="1">
      <alignment horizontal="center"/>
    </xf>
    <xf numFmtId="0" fontId="14" fillId="0" borderId="0" xfId="0" applyFont="1"/>
    <xf numFmtId="0" fontId="17" fillId="0" borderId="0" xfId="0" applyFont="1"/>
    <xf numFmtId="164" fontId="18" fillId="0" borderId="0" xfId="0" applyNumberFormat="1" applyFont="1" applyAlignment="1">
      <alignment horizontal="center"/>
    </xf>
    <xf numFmtId="0" fontId="18" fillId="0" borderId="0" xfId="0" applyFont="1" applyAlignment="1">
      <alignment horizontal="center"/>
    </xf>
    <xf numFmtId="0" fontId="19" fillId="0" borderId="0" xfId="0" applyFont="1"/>
    <xf numFmtId="0" fontId="15" fillId="0" borderId="0" xfId="0" applyFont="1" applyAlignment="1">
      <alignment horizontal="center"/>
    </xf>
    <xf numFmtId="0" fontId="15" fillId="0" borderId="0" xfId="0" applyFont="1" applyAlignment="1">
      <alignment horizontal="center" vertical="center"/>
    </xf>
    <xf numFmtId="0" fontId="4" fillId="0" borderId="0" xfId="0" applyFont="1" applyAlignment="1"/>
    <xf numFmtId="0" fontId="16" fillId="0" borderId="0" xfId="0" applyFont="1" applyAlignment="1">
      <alignment vertical="center" textRotation="180"/>
    </xf>
    <xf numFmtId="0" fontId="16" fillId="0" borderId="17" xfId="0" applyFont="1" applyBorder="1" applyAlignment="1">
      <alignment horizontal="center" vertical="center"/>
    </xf>
    <xf numFmtId="0" fontId="16" fillId="0" borderId="18" xfId="0" applyFont="1" applyBorder="1" applyAlignment="1">
      <alignment horizontal="center" vertical="center"/>
    </xf>
    <xf numFmtId="0" fontId="16" fillId="0" borderId="19" xfId="0" applyFont="1" applyBorder="1" applyAlignment="1">
      <alignment horizontal="center" vertical="center"/>
    </xf>
    <xf numFmtId="0" fontId="0" fillId="0" borderId="0" xfId="0" applyAlignment="1"/>
    <xf numFmtId="0" fontId="20" fillId="0" borderId="0" xfId="0" applyFont="1"/>
    <xf numFmtId="0" fontId="22" fillId="0" borderId="0" xfId="0" applyFont="1"/>
    <xf numFmtId="0" fontId="25" fillId="0" borderId="0" xfId="0" applyFont="1"/>
    <xf numFmtId="0" fontId="26" fillId="0" borderId="0" xfId="0" applyFont="1"/>
    <xf numFmtId="0" fontId="27" fillId="0" borderId="0" xfId="0" applyFont="1"/>
    <xf numFmtId="0" fontId="1" fillId="0" borderId="0" xfId="0" applyFont="1" applyAlignment="1">
      <alignment horizontal="center"/>
    </xf>
    <xf numFmtId="0" fontId="16" fillId="0" borderId="0" xfId="0" applyFont="1" applyAlignment="1">
      <alignment horizontal="center" vertical="center"/>
    </xf>
    <xf numFmtId="0" fontId="28" fillId="0" borderId="2" xfId="0" applyFont="1" applyBorder="1"/>
    <xf numFmtId="164" fontId="8" fillId="2" borderId="0" xfId="0" applyNumberFormat="1" applyFont="1" applyFill="1"/>
    <xf numFmtId="164" fontId="0" fillId="0" borderId="0" xfId="1" applyFont="1"/>
    <xf numFmtId="164" fontId="8" fillId="2" borderId="0" xfId="1" applyFont="1" applyFill="1"/>
    <xf numFmtId="0" fontId="28" fillId="0" borderId="0" xfId="0" applyFont="1"/>
    <xf numFmtId="0" fontId="28" fillId="2" borderId="2" xfId="0" applyFont="1" applyFill="1" applyBorder="1"/>
    <xf numFmtId="0" fontId="15" fillId="0" borderId="0" xfId="0" applyFont="1"/>
    <xf numFmtId="0" fontId="29" fillId="0" borderId="0" xfId="0" applyFont="1" applyAlignment="1">
      <alignment horizontal="center" vertical="center"/>
    </xf>
    <xf numFmtId="165" fontId="9" fillId="3" borderId="6" xfId="1" applyNumberFormat="1" applyFont="1" applyFill="1" applyBorder="1" applyAlignment="1">
      <alignment horizontal="center" vertical="center"/>
    </xf>
    <xf numFmtId="165" fontId="9" fillId="4" borderId="12" xfId="1" applyNumberFormat="1" applyFont="1" applyFill="1" applyBorder="1" applyAlignment="1">
      <alignment horizontal="center" vertical="center"/>
    </xf>
    <xf numFmtId="165" fontId="9" fillId="4" borderId="1" xfId="1" applyNumberFormat="1" applyFont="1" applyFill="1" applyBorder="1" applyAlignment="1">
      <alignment horizontal="center" vertical="center"/>
    </xf>
    <xf numFmtId="165" fontId="9" fillId="4" borderId="13" xfId="1" applyNumberFormat="1" applyFont="1" applyFill="1" applyBorder="1" applyAlignment="1">
      <alignment horizontal="center" vertical="center"/>
    </xf>
    <xf numFmtId="165" fontId="9" fillId="5" borderId="12" xfId="1" applyNumberFormat="1" applyFont="1" applyFill="1" applyBorder="1" applyAlignment="1">
      <alignment horizontal="center" vertical="center"/>
    </xf>
    <xf numFmtId="165" fontId="9" fillId="5" borderId="1" xfId="1" applyNumberFormat="1" applyFont="1" applyFill="1" applyBorder="1" applyAlignment="1">
      <alignment horizontal="center" vertical="center"/>
    </xf>
    <xf numFmtId="165" fontId="9" fillId="5" borderId="13" xfId="1" applyNumberFormat="1" applyFont="1" applyFill="1" applyBorder="1" applyAlignment="1">
      <alignment horizontal="center" vertical="center"/>
    </xf>
    <xf numFmtId="165" fontId="9" fillId="3" borderId="5" xfId="1" applyNumberFormat="1" applyFont="1" applyFill="1" applyBorder="1" applyAlignment="1">
      <alignment horizontal="center" vertical="center"/>
    </xf>
    <xf numFmtId="0" fontId="32" fillId="0" borderId="0" xfId="0" applyFont="1"/>
    <xf numFmtId="0" fontId="0" fillId="0" borderId="0" xfId="0"/>
    <xf numFmtId="0" fontId="2" fillId="0" borderId="0" xfId="0" applyFont="1" applyFill="1" applyBorder="1" applyAlignment="1">
      <alignment textRotation="90"/>
    </xf>
    <xf numFmtId="164" fontId="17" fillId="0" borderId="0" xfId="0" applyNumberFormat="1" applyFont="1" applyAlignment="1">
      <alignment horizontal="center" vertical="top"/>
    </xf>
    <xf numFmtId="0" fontId="17" fillId="0" borderId="0" xfId="0" applyFont="1" applyAlignment="1">
      <alignment horizontal="center" vertical="top"/>
    </xf>
    <xf numFmtId="164" fontId="17" fillId="0" borderId="0" xfId="0" applyNumberFormat="1" applyFont="1" applyAlignment="1">
      <alignment vertical="top"/>
    </xf>
    <xf numFmtId="164" fontId="6" fillId="0" borderId="0" xfId="1" applyFont="1"/>
    <xf numFmtId="0" fontId="33" fillId="0" borderId="0" xfId="0" applyFont="1"/>
    <xf numFmtId="0" fontId="33" fillId="0" borderId="0" xfId="0" applyFont="1" applyAlignment="1"/>
    <xf numFmtId="0" fontId="4" fillId="0" borderId="0" xfId="0" applyFont="1" applyBorder="1" applyAlignment="1">
      <alignment vertical="top"/>
    </xf>
    <xf numFmtId="0" fontId="4" fillId="0" borderId="0" xfId="0" applyFont="1" applyAlignment="1">
      <alignment vertical="center"/>
    </xf>
    <xf numFmtId="0" fontId="34" fillId="0" borderId="0" xfId="0" applyFont="1"/>
    <xf numFmtId="166" fontId="30" fillId="0" borderId="0" xfId="0" applyNumberFormat="1" applyFont="1" applyAlignment="1">
      <alignment horizontal="center"/>
    </xf>
    <xf numFmtId="0" fontId="4" fillId="0" borderId="0" xfId="0" applyFont="1" applyAlignment="1">
      <alignment horizontal="center" vertical="center" textRotation="180"/>
    </xf>
    <xf numFmtId="0" fontId="4" fillId="0" borderId="0" xfId="0" applyFont="1" applyAlignment="1">
      <alignment horizontal="center"/>
    </xf>
    <xf numFmtId="0" fontId="15" fillId="0" borderId="0" xfId="0" applyFont="1" applyAlignment="1">
      <alignment horizontal="center"/>
    </xf>
    <xf numFmtId="0" fontId="15" fillId="0" borderId="0" xfId="0" applyFont="1" applyAlignment="1">
      <alignment horizontal="center" vertical="center" textRotation="180"/>
    </xf>
    <xf numFmtId="0" fontId="24" fillId="0" borderId="2" xfId="0" applyFont="1" applyBorder="1" applyAlignment="1">
      <alignment horizontal="center" vertical="center"/>
    </xf>
    <xf numFmtId="0" fontId="24" fillId="0" borderId="3" xfId="0" applyFont="1" applyBorder="1" applyAlignment="1">
      <alignment horizontal="center" vertical="center"/>
    </xf>
    <xf numFmtId="0" fontId="24" fillId="0" borderId="22" xfId="0" applyFont="1" applyBorder="1" applyAlignment="1">
      <alignment horizontal="center" vertical="center"/>
    </xf>
    <xf numFmtId="0" fontId="13" fillId="0" borderId="1" xfId="0" applyFont="1" applyBorder="1" applyAlignment="1">
      <alignment horizontal="center" vertical="center"/>
    </xf>
    <xf numFmtId="0" fontId="16" fillId="0" borderId="1" xfId="0" applyFont="1" applyBorder="1" applyAlignment="1">
      <alignment horizontal="center" vertical="center"/>
    </xf>
    <xf numFmtId="0" fontId="13" fillId="0" borderId="2" xfId="0" applyFont="1" applyBorder="1" applyAlignment="1">
      <alignment horizontal="center" vertical="center" wrapText="1"/>
    </xf>
    <xf numFmtId="0" fontId="13" fillId="0" borderId="22" xfId="0" applyFont="1" applyBorder="1" applyAlignment="1">
      <alignment horizontal="center" vertical="center" wrapText="1"/>
    </xf>
    <xf numFmtId="0" fontId="3" fillId="6" borderId="0" xfId="0" applyFont="1" applyFill="1" applyAlignment="1">
      <alignment horizontal="center" vertical="center"/>
    </xf>
    <xf numFmtId="0" fontId="3" fillId="6" borderId="20" xfId="0" applyFont="1" applyFill="1" applyBorder="1" applyAlignment="1">
      <alignment horizontal="center" vertical="center" wrapText="1"/>
    </xf>
    <xf numFmtId="0" fontId="3" fillId="6" borderId="20" xfId="0" applyFont="1" applyFill="1" applyBorder="1" applyAlignment="1">
      <alignment horizontal="center" vertical="center"/>
    </xf>
    <xf numFmtId="0" fontId="3" fillId="6" borderId="21" xfId="0" applyFont="1" applyFill="1" applyBorder="1" applyAlignment="1">
      <alignment horizontal="center" vertical="center"/>
    </xf>
  </cellXfs>
  <cellStyles count="7">
    <cellStyle name="Millares" xfId="1" builtinId="3"/>
    <cellStyle name="Millares 2" xfId="4"/>
    <cellStyle name="Normal" xfId="0" builtinId="0"/>
    <cellStyle name="Normal 2" xfId="2"/>
    <cellStyle name="Normal 2 2" xfId="5"/>
    <cellStyle name="Normal 3 2" xfId="3"/>
    <cellStyle name="Normal 3 2 2" xfId="6"/>
  </cellStyles>
  <dxfs count="0"/>
  <tableStyles count="0" defaultTableStyle="TableStyleMedium2" defaultPivotStyle="PivotStyleLight16"/>
  <colors>
    <mruColors>
      <color rgb="FF000000"/>
      <color rgb="FF800000"/>
      <color rgb="FFFDF1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styles.xml" Type="http://schemas.openxmlformats.org/officeDocument/2006/relationships/styles"/><Relationship Id="rId17" Target="sharedStrings.xml" Type="http://schemas.openxmlformats.org/officeDocument/2006/relationships/sharedStrings"/><Relationship Id="rId18" Target="calcChain.xml" Type="http://schemas.openxmlformats.org/officeDocument/2006/relationships/calcChain"/><Relationship Id="rId19"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charts/_rels/chart14.xml.rels><?xml version="1.0" encoding="UTF-8" standalone="no"?><Relationships xmlns="http://schemas.openxmlformats.org/package/2006/relationships"><Relationship Id="rId1" Target="../theme/themeOverride1.xml" Type="http://schemas.openxmlformats.org/officeDocument/2006/relationships/themeOverride"/></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c:f>
              <c:strCache>
                <c:ptCount val="1"/>
                <c:pt idx="0">
                  <c:v>AutoEvaluación</c:v>
                </c:pt>
              </c:strCache>
            </c:strRef>
          </c:tx>
          <c:invertIfNegative val="0"/>
          <c:val>
            <c:numRef>
              <c:f>'C.Negocio'!$C$12</c:f>
              <c:numCache>
                <c:formatCode>General</c:formatCode>
                <c:ptCount val="1"/>
                <c:pt idx="0">
                  <c:v>0</c:v>
                </c:pt>
              </c:numCache>
            </c:numRef>
          </c:val>
          <c:extLst>
            <c:ext xmlns:c16="http://schemas.microsoft.com/office/drawing/2014/chart" uri="{C3380CC4-5D6E-409C-BE32-E72D297353CC}">
              <c16:uniqueId val="{00000000-2EAF-4B1E-A692-62149E175D4F}"/>
            </c:ext>
          </c:extLst>
        </c:ser>
        <c:ser>
          <c:idx val="1"/>
          <c:order val="1"/>
          <c:tx>
            <c:strRef>
              <c:f>'C.Negocio'!$B$13</c:f>
              <c:strCache>
                <c:ptCount val="1"/>
                <c:pt idx="0">
                  <c:v>Media Externa</c:v>
                </c:pt>
              </c:strCache>
            </c:strRef>
          </c:tx>
          <c:invertIfNegative val="0"/>
          <c:val>
            <c:numRef>
              <c:f>'C.Negocio'!$C$13</c:f>
              <c:numCache>
                <c:formatCode>General</c:formatCode>
                <c:ptCount val="1"/>
                <c:pt idx="0">
                  <c:v>0</c:v>
                </c:pt>
              </c:numCache>
            </c:numRef>
          </c:val>
          <c:extLst>
            <c:ext xmlns:c16="http://schemas.microsoft.com/office/drawing/2014/chart" uri="{C3380CC4-5D6E-409C-BE32-E72D297353CC}">
              <c16:uniqueId val="{00000001-2EAF-4B1E-A692-62149E175D4F}"/>
            </c:ext>
          </c:extLst>
        </c:ser>
        <c:ser>
          <c:idx val="2"/>
          <c:order val="2"/>
          <c:tx>
            <c:strRef>
              <c:f>'C.Negocio'!$B$14</c:f>
              <c:strCache>
                <c:ptCount val="1"/>
                <c:pt idx="0">
                  <c:v>Media TopTen</c:v>
                </c:pt>
              </c:strCache>
            </c:strRef>
          </c:tx>
          <c:invertIfNegative val="0"/>
          <c:val>
            <c:numRef>
              <c:f>'C.Negocio'!$C$14</c:f>
              <c:numCache>
                <c:formatCode>General</c:formatCode>
                <c:ptCount val="1"/>
                <c:pt idx="0">
                  <c:v>3.92</c:v>
                </c:pt>
              </c:numCache>
            </c:numRef>
          </c:val>
          <c:extLst>
            <c:ext xmlns:c16="http://schemas.microsoft.com/office/drawing/2014/chart" uri="{C3380CC4-5D6E-409C-BE32-E72D297353CC}">
              <c16:uniqueId val="{00000002-2EAF-4B1E-A692-62149E175D4F}"/>
            </c:ext>
          </c:extLst>
        </c:ser>
        <c:dLbls>
          <c:showLegendKey val="0"/>
          <c:showVal val="0"/>
          <c:showCatName val="0"/>
          <c:showSerName val="0"/>
          <c:showPercent val="0"/>
          <c:showBubbleSize val="0"/>
        </c:dLbls>
        <c:gapWidth val="150"/>
        <c:axId val="68013056"/>
        <c:axId val="68236032"/>
      </c:barChart>
      <c:catAx>
        <c:axId val="68013056"/>
        <c:scaling>
          <c:orientation val="minMax"/>
        </c:scaling>
        <c:delete val="1"/>
        <c:axPos val="l"/>
        <c:numFmt formatCode="General" sourceLinked="1"/>
        <c:majorTickMark val="out"/>
        <c:minorTickMark val="none"/>
        <c:tickLblPos val="none"/>
        <c:crossAx val="68236032"/>
        <c:crosses val="autoZero"/>
        <c:auto val="1"/>
        <c:lblAlgn val="ctr"/>
        <c:lblOffset val="100"/>
        <c:noMultiLvlLbl val="0"/>
      </c:catAx>
      <c:valAx>
        <c:axId val="6823603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013056"/>
        <c:crosses val="autoZero"/>
        <c:crossBetween val="between"/>
      </c:valAx>
    </c:plotArea>
    <c:legend>
      <c:legendPos val="r"/>
      <c:layout>
        <c:manualLayout>
          <c:xMode val="edge"/>
          <c:yMode val="edge"/>
          <c:x val="1.9414991514767308E-2"/>
          <c:y val="0.14333354778456558"/>
          <c:w val="0.2500293834521694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'C.Negocio'!$B$25</c:f>
              <c:strCache>
                <c:ptCount val="1"/>
                <c:pt idx="0">
                  <c:v>AutoEvaluación</c:v>
                </c:pt>
              </c:strCache>
            </c:strRef>
          </c:tx>
          <c:invertIfNegative val="0"/>
          <c:val>
            <c:numRef>
              <c:f>'C.Negocio'!$C$25</c:f>
              <c:numCache>
                <c:formatCode>General</c:formatCode>
                <c:ptCount val="1"/>
                <c:pt idx="0">
                  <c:v>0</c:v>
                </c:pt>
              </c:numCache>
            </c:numRef>
          </c:val>
          <c:extLst>
            <c:ext xmlns:c16="http://schemas.microsoft.com/office/drawing/2014/chart" uri="{C3380CC4-5D6E-409C-BE32-E72D297353CC}">
              <c16:uniqueId val="{00000000-0EC1-4C40-A20E-1D44B82A3207}"/>
            </c:ext>
          </c:extLst>
        </c:ser>
        <c:ser>
          <c:idx val="1"/>
          <c:order val="1"/>
          <c:tx>
            <c:strRef>
              <c:f>'C.Negocio'!$B$26</c:f>
              <c:strCache>
                <c:ptCount val="1"/>
                <c:pt idx="0">
                  <c:v>Media Externa</c:v>
                </c:pt>
              </c:strCache>
            </c:strRef>
          </c:tx>
          <c:invertIfNegative val="0"/>
          <c:val>
            <c:numRef>
              <c:f>'C.Negocio'!$C$26</c:f>
              <c:numCache>
                <c:formatCode>General</c:formatCode>
                <c:ptCount val="1"/>
                <c:pt idx="0">
                  <c:v>0</c:v>
                </c:pt>
              </c:numCache>
            </c:numRef>
          </c:val>
          <c:extLst>
            <c:ext xmlns:c16="http://schemas.microsoft.com/office/drawing/2014/chart" uri="{C3380CC4-5D6E-409C-BE32-E72D297353CC}">
              <c16:uniqueId val="{00000001-0EC1-4C40-A20E-1D44B82A3207}"/>
            </c:ext>
          </c:extLst>
        </c:ser>
        <c:ser>
          <c:idx val="2"/>
          <c:order val="2"/>
          <c:tx>
            <c:strRef>
              <c:f>'C.Negocio'!$B$27</c:f>
              <c:strCache>
                <c:ptCount val="1"/>
                <c:pt idx="0">
                  <c:v>Media TopTen</c:v>
                </c:pt>
              </c:strCache>
            </c:strRef>
          </c:tx>
          <c:invertIfNegative val="0"/>
          <c:val>
            <c:numRef>
              <c:f>'C.Negocio'!$C$27</c:f>
              <c:numCache>
                <c:formatCode>General</c:formatCode>
                <c:ptCount val="1"/>
                <c:pt idx="0">
                  <c:v>3.89</c:v>
                </c:pt>
              </c:numCache>
            </c:numRef>
          </c:val>
          <c:extLst>
            <c:ext xmlns:c16="http://schemas.microsoft.com/office/drawing/2014/chart" uri="{C3380CC4-5D6E-409C-BE32-E72D297353CC}">
              <c16:uniqueId val="{00000002-0EC1-4C40-A20E-1D44B82A3207}"/>
            </c:ext>
          </c:extLst>
        </c:ser>
        <c:dLbls>
          <c:showLegendKey val="0"/>
          <c:showVal val="0"/>
          <c:showCatName val="0"/>
          <c:showSerName val="0"/>
          <c:showPercent val="0"/>
          <c:showBubbleSize val="0"/>
        </c:dLbls>
        <c:gapWidth val="150"/>
        <c:axId val="68258432"/>
        <c:axId val="68272512"/>
      </c:barChart>
      <c:catAx>
        <c:axId val="68258432"/>
        <c:scaling>
          <c:orientation val="minMax"/>
        </c:scaling>
        <c:delete val="1"/>
        <c:axPos val="l"/>
        <c:numFmt formatCode="General" sourceLinked="1"/>
        <c:majorTickMark val="out"/>
        <c:minorTickMark val="none"/>
        <c:tickLblPos val="none"/>
        <c:crossAx val="68272512"/>
        <c:crosses val="autoZero"/>
        <c:auto val="1"/>
        <c:lblAlgn val="ctr"/>
        <c:lblOffset val="100"/>
        <c:noMultiLvlLbl val="0"/>
      </c:catAx>
      <c:valAx>
        <c:axId val="6827251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258432"/>
        <c:crosses val="autoZero"/>
        <c:crossBetween val="between"/>
      </c:valAx>
    </c:plotArea>
    <c:legend>
      <c:legendPos val="r"/>
      <c:layout>
        <c:manualLayout>
          <c:xMode val="edge"/>
          <c:yMode val="edge"/>
          <c:x val="1.6942925632688399E-2"/>
          <c:y val="0.14333354778456558"/>
          <c:w val="0.25250152308683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'C.Negocio'!$B$38</c:f>
              <c:strCache>
                <c:ptCount val="1"/>
                <c:pt idx="0">
                  <c:v>AutoEvaluación</c:v>
                </c:pt>
              </c:strCache>
            </c:strRef>
          </c:tx>
          <c:invertIfNegative val="0"/>
          <c:val>
            <c:numRef>
              <c:f>'C.Negocio'!$C$38</c:f>
              <c:numCache>
                <c:formatCode>General</c:formatCode>
                <c:ptCount val="1"/>
                <c:pt idx="0">
                  <c:v>0</c:v>
                </c:pt>
              </c:numCache>
            </c:numRef>
          </c:val>
          <c:extLst>
            <c:ext xmlns:c16="http://schemas.microsoft.com/office/drawing/2014/chart" uri="{C3380CC4-5D6E-409C-BE32-E72D297353CC}">
              <c16:uniqueId val="{00000000-965C-4471-A629-79EECADE46C5}"/>
            </c:ext>
          </c:extLst>
        </c:ser>
        <c:ser>
          <c:idx val="1"/>
          <c:order val="1"/>
          <c:tx>
            <c:strRef>
              <c:f>'C.Negocio'!$B$39</c:f>
              <c:strCache>
                <c:ptCount val="1"/>
                <c:pt idx="0">
                  <c:v>Media Externa</c:v>
                </c:pt>
              </c:strCache>
            </c:strRef>
          </c:tx>
          <c:invertIfNegative val="0"/>
          <c:val>
            <c:numRef>
              <c:f>'C.Negocio'!$C$39</c:f>
              <c:numCache>
                <c:formatCode>General</c:formatCode>
                <c:ptCount val="1"/>
                <c:pt idx="0">
                  <c:v>0</c:v>
                </c:pt>
              </c:numCache>
            </c:numRef>
          </c:val>
          <c:extLst>
            <c:ext xmlns:c16="http://schemas.microsoft.com/office/drawing/2014/chart" uri="{C3380CC4-5D6E-409C-BE32-E72D297353CC}">
              <c16:uniqueId val="{00000001-965C-4471-A629-79EECADE46C5}"/>
            </c:ext>
          </c:extLst>
        </c:ser>
        <c:ser>
          <c:idx val="2"/>
          <c:order val="2"/>
          <c:tx>
            <c:strRef>
              <c:f>'C.Negocio'!$B$40</c:f>
              <c:strCache>
                <c:ptCount val="1"/>
                <c:pt idx="0">
                  <c:v>Media TopTen</c:v>
                </c:pt>
              </c:strCache>
            </c:strRef>
          </c:tx>
          <c:invertIfNegative val="0"/>
          <c:val>
            <c:numRef>
              <c:f>'C.Negocio'!$C$40</c:f>
              <c:numCache>
                <c:formatCode>General</c:formatCode>
                <c:ptCount val="1"/>
                <c:pt idx="0">
                  <c:v>3.82</c:v>
                </c:pt>
              </c:numCache>
            </c:numRef>
          </c:val>
          <c:extLst>
            <c:ext xmlns:c16="http://schemas.microsoft.com/office/drawing/2014/chart" uri="{C3380CC4-5D6E-409C-BE32-E72D297353CC}">
              <c16:uniqueId val="{00000002-965C-4471-A629-79EECADE46C5}"/>
            </c:ext>
          </c:extLst>
        </c:ser>
        <c:dLbls>
          <c:showLegendKey val="0"/>
          <c:showVal val="0"/>
          <c:showCatName val="0"/>
          <c:showSerName val="0"/>
          <c:showPercent val="0"/>
          <c:showBubbleSize val="0"/>
        </c:dLbls>
        <c:gapWidth val="150"/>
        <c:axId val="68733184"/>
        <c:axId val="68739072"/>
      </c:barChart>
      <c:catAx>
        <c:axId val="68733184"/>
        <c:scaling>
          <c:orientation val="minMax"/>
        </c:scaling>
        <c:delete val="1"/>
        <c:axPos val="l"/>
        <c:numFmt formatCode="General" sourceLinked="1"/>
        <c:majorTickMark val="out"/>
        <c:minorTickMark val="none"/>
        <c:tickLblPos val="none"/>
        <c:crossAx val="68739072"/>
        <c:crosses val="autoZero"/>
        <c:auto val="1"/>
        <c:lblAlgn val="ctr"/>
        <c:lblOffset val="100"/>
        <c:noMultiLvlLbl val="0"/>
      </c:catAx>
      <c:valAx>
        <c:axId val="687390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733184"/>
        <c:crosses val="autoZero"/>
        <c:crossBetween val="between"/>
      </c:valAx>
    </c:plotArea>
    <c:legend>
      <c:legendPos val="r"/>
      <c:layout>
        <c:manualLayout>
          <c:xMode val="edge"/>
          <c:yMode val="edge"/>
          <c:x val="1.1544911449788531E-2"/>
          <c:y val="0.14333354778456558"/>
          <c:w val="0.2578994642132068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'C.Negocio'!$B$51</c:f>
              <c:strCache>
                <c:ptCount val="1"/>
                <c:pt idx="0">
                  <c:v>AutoEvaluación</c:v>
                </c:pt>
              </c:strCache>
            </c:strRef>
          </c:tx>
          <c:invertIfNegative val="0"/>
          <c:val>
            <c:numRef>
              <c:f>'C.Negocio'!$C$51</c:f>
              <c:numCache>
                <c:formatCode>General</c:formatCode>
                <c:ptCount val="1"/>
                <c:pt idx="0">
                  <c:v>0</c:v>
                </c:pt>
              </c:numCache>
            </c:numRef>
          </c:val>
          <c:extLst>
            <c:ext xmlns:c16="http://schemas.microsoft.com/office/drawing/2014/chart" uri="{C3380CC4-5D6E-409C-BE32-E72D297353CC}">
              <c16:uniqueId val="{00000000-132B-4636-97F6-68F042AAC1A8}"/>
            </c:ext>
          </c:extLst>
        </c:ser>
        <c:ser>
          <c:idx val="1"/>
          <c:order val="1"/>
          <c:tx>
            <c:strRef>
              <c:f>'C.Negocio'!$B$52</c:f>
              <c:strCache>
                <c:ptCount val="1"/>
                <c:pt idx="0">
                  <c:v>Media Externa</c:v>
                </c:pt>
              </c:strCache>
            </c:strRef>
          </c:tx>
          <c:invertIfNegative val="0"/>
          <c:val>
            <c:numRef>
              <c:f>'C.Negocio'!$C$52</c:f>
              <c:numCache>
                <c:formatCode>General</c:formatCode>
                <c:ptCount val="1"/>
                <c:pt idx="0">
                  <c:v>0</c:v>
                </c:pt>
              </c:numCache>
            </c:numRef>
          </c:val>
          <c:extLst>
            <c:ext xmlns:c16="http://schemas.microsoft.com/office/drawing/2014/chart" uri="{C3380CC4-5D6E-409C-BE32-E72D297353CC}">
              <c16:uniqueId val="{00000001-132B-4636-97F6-68F042AAC1A8}"/>
            </c:ext>
          </c:extLst>
        </c:ser>
        <c:ser>
          <c:idx val="2"/>
          <c:order val="2"/>
          <c:tx>
            <c:strRef>
              <c:f>'C.Negocio'!$B$53</c:f>
              <c:strCache>
                <c:ptCount val="1"/>
                <c:pt idx="0">
                  <c:v>Media TopTen</c:v>
                </c:pt>
              </c:strCache>
            </c:strRef>
          </c:tx>
          <c:invertIfNegative val="0"/>
          <c:val>
            <c:numRef>
              <c:f>'C.Negocio'!$C$53</c:f>
              <c:numCache>
                <c:formatCode>General</c:formatCode>
                <c:ptCount val="1"/>
                <c:pt idx="0">
                  <c:v>3.85</c:v>
                </c:pt>
              </c:numCache>
            </c:numRef>
          </c:val>
          <c:extLst>
            <c:ext xmlns:c16="http://schemas.microsoft.com/office/drawing/2014/chart" uri="{C3380CC4-5D6E-409C-BE32-E72D297353CC}">
              <c16:uniqueId val="{00000002-132B-4636-97F6-68F042AAC1A8}"/>
            </c:ext>
          </c:extLst>
        </c:ser>
        <c:dLbls>
          <c:showLegendKey val="0"/>
          <c:showVal val="0"/>
          <c:showCatName val="0"/>
          <c:showSerName val="0"/>
          <c:showPercent val="0"/>
          <c:showBubbleSize val="0"/>
        </c:dLbls>
        <c:gapWidth val="150"/>
        <c:axId val="69564288"/>
        <c:axId val="69565824"/>
      </c:barChart>
      <c:catAx>
        <c:axId val="69564288"/>
        <c:scaling>
          <c:orientation val="minMax"/>
        </c:scaling>
        <c:delete val="1"/>
        <c:axPos val="l"/>
        <c:numFmt formatCode="General" sourceLinked="1"/>
        <c:majorTickMark val="out"/>
        <c:minorTickMark val="none"/>
        <c:tickLblPos val="none"/>
        <c:crossAx val="69565824"/>
        <c:crosses val="autoZero"/>
        <c:auto val="1"/>
        <c:lblAlgn val="ctr"/>
        <c:lblOffset val="100"/>
        <c:noMultiLvlLbl val="0"/>
      </c:catAx>
      <c:valAx>
        <c:axId val="6956582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9564288"/>
        <c:crosses val="autoZero"/>
        <c:crossBetween val="between"/>
      </c:valAx>
    </c:plotArea>
    <c:legend>
      <c:legendPos val="r"/>
      <c:layout>
        <c:manualLayout>
          <c:xMode val="edge"/>
          <c:yMode val="edge"/>
          <c:x val="1.1428523747245302E-2"/>
          <c:y val="0.14333354778456558"/>
          <c:w val="0.25801595241504033"/>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'C.Negocio'!$B$66</c:f>
              <c:strCache>
                <c:ptCount val="1"/>
                <c:pt idx="0">
                  <c:v>AutoEvaluación</c:v>
                </c:pt>
              </c:strCache>
            </c:strRef>
          </c:tx>
          <c:invertIfNegative val="0"/>
          <c:val>
            <c:numRef>
              <c:f>'C.Negocio'!$C$66</c:f>
              <c:numCache>
                <c:formatCode>General</c:formatCode>
                <c:ptCount val="1"/>
                <c:pt idx="0">
                  <c:v>0</c:v>
                </c:pt>
              </c:numCache>
            </c:numRef>
          </c:val>
          <c:extLst>
            <c:ext xmlns:c16="http://schemas.microsoft.com/office/drawing/2014/chart" uri="{C3380CC4-5D6E-409C-BE32-E72D297353CC}">
              <c16:uniqueId val="{00000000-B8CE-47DA-A961-54C5D2822877}"/>
            </c:ext>
          </c:extLst>
        </c:ser>
        <c:ser>
          <c:idx val="1"/>
          <c:order val="1"/>
          <c:tx>
            <c:strRef>
              <c:f>'C.Negocio'!$B$67</c:f>
              <c:strCache>
                <c:ptCount val="1"/>
                <c:pt idx="0">
                  <c:v>Media Externa</c:v>
                </c:pt>
              </c:strCache>
            </c:strRef>
          </c:tx>
          <c:invertIfNegative val="0"/>
          <c:val>
            <c:numRef>
              <c:f>'C.Negocio'!$C$67</c:f>
              <c:numCache>
                <c:formatCode>General</c:formatCode>
                <c:ptCount val="1"/>
                <c:pt idx="0">
                  <c:v>0</c:v>
                </c:pt>
              </c:numCache>
            </c:numRef>
          </c:val>
          <c:extLst>
            <c:ext xmlns:c16="http://schemas.microsoft.com/office/drawing/2014/chart" uri="{C3380CC4-5D6E-409C-BE32-E72D297353CC}">
              <c16:uniqueId val="{00000001-B8CE-47DA-A961-54C5D2822877}"/>
            </c:ext>
          </c:extLst>
        </c:ser>
        <c:ser>
          <c:idx val="2"/>
          <c:order val="2"/>
          <c:tx>
            <c:strRef>
              <c:f>'C.Negocio'!$B$68</c:f>
              <c:strCache>
                <c:ptCount val="1"/>
                <c:pt idx="0">
                  <c:v>Media TopTen</c:v>
                </c:pt>
              </c:strCache>
            </c:strRef>
          </c:tx>
          <c:invertIfNegative val="0"/>
          <c:val>
            <c:numRef>
              <c:f>'C.Negocio'!$C$68</c:f>
              <c:numCache>
                <c:formatCode>General</c:formatCode>
                <c:ptCount val="1"/>
                <c:pt idx="0">
                  <c:v>3.86</c:v>
                </c:pt>
              </c:numCache>
            </c:numRef>
          </c:val>
          <c:extLst>
            <c:ext xmlns:c16="http://schemas.microsoft.com/office/drawing/2014/chart" uri="{C3380CC4-5D6E-409C-BE32-E72D297353CC}">
              <c16:uniqueId val="{00000002-B8CE-47DA-A961-54C5D2822877}"/>
            </c:ext>
          </c:extLst>
        </c:ser>
        <c:dLbls>
          <c:showLegendKey val="0"/>
          <c:showVal val="0"/>
          <c:showCatName val="0"/>
          <c:showSerName val="0"/>
          <c:showPercent val="0"/>
          <c:showBubbleSize val="0"/>
        </c:dLbls>
        <c:gapWidth val="150"/>
        <c:axId val="70731648"/>
        <c:axId val="70733184"/>
      </c:barChart>
      <c:catAx>
        <c:axId val="70731648"/>
        <c:scaling>
          <c:orientation val="minMax"/>
        </c:scaling>
        <c:delete val="1"/>
        <c:axPos val="l"/>
        <c:numFmt formatCode="General" sourceLinked="1"/>
        <c:majorTickMark val="out"/>
        <c:minorTickMark val="none"/>
        <c:tickLblPos val="none"/>
        <c:crossAx val="70733184"/>
        <c:crosses val="autoZero"/>
        <c:auto val="1"/>
        <c:lblAlgn val="ctr"/>
        <c:lblOffset val="100"/>
        <c:noMultiLvlLbl val="0"/>
      </c:catAx>
      <c:valAx>
        <c:axId val="7073318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31648"/>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'C.Negocio'!$B$79</c:f>
              <c:strCache>
                <c:ptCount val="1"/>
                <c:pt idx="0">
                  <c:v>AutoEvaluación</c:v>
                </c:pt>
              </c:strCache>
            </c:strRef>
          </c:tx>
          <c:invertIfNegative val="0"/>
          <c:val>
            <c:numRef>
              <c:f>'C.Negocio'!$C$79</c:f>
              <c:numCache>
                <c:formatCode>General</c:formatCode>
                <c:ptCount val="1"/>
                <c:pt idx="0">
                  <c:v>0</c:v>
                </c:pt>
              </c:numCache>
            </c:numRef>
          </c:val>
          <c:extLst>
            <c:ext xmlns:c16="http://schemas.microsoft.com/office/drawing/2014/chart" uri="{C3380CC4-5D6E-409C-BE32-E72D297353CC}">
              <c16:uniqueId val="{00000000-F9A0-41D6-87F3-400D327BB1B9}"/>
            </c:ext>
          </c:extLst>
        </c:ser>
        <c:ser>
          <c:idx val="1"/>
          <c:order val="1"/>
          <c:tx>
            <c:strRef>
              <c:f>'C.Negocio'!$B$80</c:f>
              <c:strCache>
                <c:ptCount val="1"/>
                <c:pt idx="0">
                  <c:v>Media Externa</c:v>
                </c:pt>
              </c:strCache>
            </c:strRef>
          </c:tx>
          <c:invertIfNegative val="0"/>
          <c:val>
            <c:numRef>
              <c:f>'C.Negocio'!$C$80</c:f>
              <c:numCache>
                <c:formatCode>General</c:formatCode>
                <c:ptCount val="1"/>
                <c:pt idx="0">
                  <c:v>0</c:v>
                </c:pt>
              </c:numCache>
            </c:numRef>
          </c:val>
          <c:extLst>
            <c:ext xmlns:c16="http://schemas.microsoft.com/office/drawing/2014/chart" uri="{C3380CC4-5D6E-409C-BE32-E72D297353CC}">
              <c16:uniqueId val="{00000001-F9A0-41D6-87F3-400D327BB1B9}"/>
            </c:ext>
          </c:extLst>
        </c:ser>
        <c:ser>
          <c:idx val="2"/>
          <c:order val="2"/>
          <c:tx>
            <c:strRef>
              <c:f>'C.Negocio'!$B$81</c:f>
              <c:strCache>
                <c:ptCount val="1"/>
                <c:pt idx="0">
                  <c:v>Media TopTen</c:v>
                </c:pt>
              </c:strCache>
            </c:strRef>
          </c:tx>
          <c:invertIfNegative val="0"/>
          <c:val>
            <c:numRef>
              <c:f>'C.Negocio'!$C$81</c:f>
              <c:numCache>
                <c:formatCode>General</c:formatCode>
                <c:ptCount val="1"/>
                <c:pt idx="0">
                  <c:v>3.92</c:v>
                </c:pt>
              </c:numCache>
            </c:numRef>
          </c:val>
          <c:extLst>
            <c:ext xmlns:c16="http://schemas.microsoft.com/office/drawing/2014/chart" uri="{C3380CC4-5D6E-409C-BE32-E72D297353CC}">
              <c16:uniqueId val="{00000002-F9A0-41D6-87F3-400D327BB1B9}"/>
            </c:ext>
          </c:extLst>
        </c:ser>
        <c:dLbls>
          <c:showLegendKey val="0"/>
          <c:showVal val="0"/>
          <c:showCatName val="0"/>
          <c:showSerName val="0"/>
          <c:showPercent val="0"/>
          <c:showBubbleSize val="0"/>
        </c:dLbls>
        <c:gapWidth val="150"/>
        <c:axId val="70771840"/>
        <c:axId val="70773376"/>
      </c:barChart>
      <c:catAx>
        <c:axId val="70771840"/>
        <c:scaling>
          <c:orientation val="minMax"/>
        </c:scaling>
        <c:delete val="1"/>
        <c:axPos val="l"/>
        <c:numFmt formatCode="General" sourceLinked="1"/>
        <c:majorTickMark val="out"/>
        <c:minorTickMark val="none"/>
        <c:tickLblPos val="none"/>
        <c:crossAx val="70773376"/>
        <c:crosses val="autoZero"/>
        <c:auto val="1"/>
        <c:lblAlgn val="ctr"/>
        <c:lblOffset val="100"/>
        <c:noMultiLvlLbl val="0"/>
      </c:catAx>
      <c:valAx>
        <c:axId val="70773376"/>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71840"/>
        <c:crosses val="autoZero"/>
        <c:crossBetween val="between"/>
      </c:valAx>
    </c:plotArea>
    <c:legend>
      <c:legendPos val="r"/>
      <c:layout>
        <c:manualLayout>
          <c:xMode val="edge"/>
          <c:yMode val="edge"/>
          <c:x val="8.5662228919675797E-3"/>
          <c:y val="0.14333354778456558"/>
          <c:w val="0.2608782258275511"/>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'C.Negocio'!$B$93</c:f>
              <c:strCache>
                <c:ptCount val="1"/>
                <c:pt idx="0">
                  <c:v>AutoEvaluación</c:v>
                </c:pt>
              </c:strCache>
            </c:strRef>
          </c:tx>
          <c:invertIfNegative val="0"/>
          <c:val>
            <c:numRef>
              <c:f>'C.Negocio'!$C$93</c:f>
              <c:numCache>
                <c:formatCode>General</c:formatCode>
                <c:ptCount val="1"/>
                <c:pt idx="0">
                  <c:v>0</c:v>
                </c:pt>
              </c:numCache>
            </c:numRef>
          </c:val>
          <c:extLst>
            <c:ext xmlns:c16="http://schemas.microsoft.com/office/drawing/2014/chart" uri="{C3380CC4-5D6E-409C-BE32-E72D297353CC}">
              <c16:uniqueId val="{00000000-6A85-4C03-9368-25CF953DFA21}"/>
            </c:ext>
          </c:extLst>
        </c:ser>
        <c:ser>
          <c:idx val="1"/>
          <c:order val="1"/>
          <c:tx>
            <c:strRef>
              <c:f>'C.Negocio'!$B$94</c:f>
              <c:strCache>
                <c:ptCount val="1"/>
                <c:pt idx="0">
                  <c:v>Media Externa</c:v>
                </c:pt>
              </c:strCache>
            </c:strRef>
          </c:tx>
          <c:invertIfNegative val="0"/>
          <c:val>
            <c:numRef>
              <c:f>'C.Negocio'!$C$94</c:f>
              <c:numCache>
                <c:formatCode>General</c:formatCode>
                <c:ptCount val="1"/>
                <c:pt idx="0">
                  <c:v>0</c:v>
                </c:pt>
              </c:numCache>
            </c:numRef>
          </c:val>
          <c:extLst>
            <c:ext xmlns:c16="http://schemas.microsoft.com/office/drawing/2014/chart" uri="{C3380CC4-5D6E-409C-BE32-E72D297353CC}">
              <c16:uniqueId val="{00000001-6A85-4C03-9368-25CF953DFA21}"/>
            </c:ext>
          </c:extLst>
        </c:ser>
        <c:ser>
          <c:idx val="2"/>
          <c:order val="2"/>
          <c:tx>
            <c:strRef>
              <c:f>'C.Negocio'!$B$95</c:f>
              <c:strCache>
                <c:ptCount val="1"/>
                <c:pt idx="0">
                  <c:v>Media TopTen</c:v>
                </c:pt>
              </c:strCache>
            </c:strRef>
          </c:tx>
          <c:invertIfNegative val="0"/>
          <c:val>
            <c:numRef>
              <c:f>'C.Negocio'!$C$95</c:f>
              <c:numCache>
                <c:formatCode>General</c:formatCode>
                <c:ptCount val="1"/>
                <c:pt idx="0">
                  <c:v>3.93</c:v>
                </c:pt>
              </c:numCache>
            </c:numRef>
          </c:val>
          <c:extLst>
            <c:ext xmlns:c16="http://schemas.microsoft.com/office/drawing/2014/chart" uri="{C3380CC4-5D6E-409C-BE32-E72D297353CC}">
              <c16:uniqueId val="{00000002-6A85-4C03-9368-25CF953DFA21}"/>
            </c:ext>
          </c:extLst>
        </c:ser>
        <c:dLbls>
          <c:showLegendKey val="0"/>
          <c:showVal val="0"/>
          <c:showCatName val="0"/>
          <c:showSerName val="0"/>
          <c:showPercent val="0"/>
          <c:showBubbleSize val="0"/>
        </c:dLbls>
        <c:gapWidth val="150"/>
        <c:axId val="70701824"/>
        <c:axId val="70703360"/>
      </c:barChart>
      <c:catAx>
        <c:axId val="70701824"/>
        <c:scaling>
          <c:orientation val="minMax"/>
        </c:scaling>
        <c:delete val="1"/>
        <c:axPos val="l"/>
        <c:numFmt formatCode="General" sourceLinked="1"/>
        <c:majorTickMark val="out"/>
        <c:minorTickMark val="none"/>
        <c:tickLblPos val="none"/>
        <c:crossAx val="70703360"/>
        <c:crosses val="autoZero"/>
        <c:auto val="1"/>
        <c:lblAlgn val="ctr"/>
        <c:lblOffset val="100"/>
        <c:noMultiLvlLbl val="0"/>
      </c:catAx>
      <c:valAx>
        <c:axId val="7070336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701824"/>
        <c:crosses val="autoZero"/>
        <c:crossBetween val="between"/>
      </c:valAx>
    </c:plotArea>
    <c:legend>
      <c:legendPos val="r"/>
      <c:layout>
        <c:manualLayout>
          <c:xMode val="edge"/>
          <c:yMode val="edge"/>
          <c:x val="1.1264760635398573E-2"/>
          <c:y val="0.14333354778456558"/>
          <c:w val="0.2581797247962818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'C.Negocio'!$B$105</c:f>
              <c:strCache>
                <c:ptCount val="1"/>
                <c:pt idx="0">
                  <c:v>AutoEvaluación</c:v>
                </c:pt>
              </c:strCache>
            </c:strRef>
          </c:tx>
          <c:invertIfNegative val="0"/>
          <c:val>
            <c:numRef>
              <c:f>'C.Negocio'!$C$105</c:f>
              <c:numCache>
                <c:formatCode>General</c:formatCode>
                <c:ptCount val="1"/>
                <c:pt idx="0">
                  <c:v>0</c:v>
                </c:pt>
              </c:numCache>
            </c:numRef>
          </c:val>
          <c:extLst>
            <c:ext xmlns:c16="http://schemas.microsoft.com/office/drawing/2014/chart" uri="{C3380CC4-5D6E-409C-BE32-E72D297353CC}">
              <c16:uniqueId val="{00000000-19DB-44BF-9FBF-55AD31A30CB4}"/>
            </c:ext>
          </c:extLst>
        </c:ser>
        <c:ser>
          <c:idx val="1"/>
          <c:order val="1"/>
          <c:tx>
            <c:strRef>
              <c:f>'C.Negocio'!$B$106</c:f>
              <c:strCache>
                <c:ptCount val="1"/>
                <c:pt idx="0">
                  <c:v>Media Externa</c:v>
                </c:pt>
              </c:strCache>
            </c:strRef>
          </c:tx>
          <c:invertIfNegative val="0"/>
          <c:val>
            <c:numRef>
              <c:f>'C.Negocio'!$C$106</c:f>
              <c:numCache>
                <c:formatCode>General</c:formatCode>
                <c:ptCount val="1"/>
                <c:pt idx="0">
                  <c:v>0</c:v>
                </c:pt>
              </c:numCache>
            </c:numRef>
          </c:val>
          <c:extLst>
            <c:ext xmlns:c16="http://schemas.microsoft.com/office/drawing/2014/chart" uri="{C3380CC4-5D6E-409C-BE32-E72D297353CC}">
              <c16:uniqueId val="{00000001-19DB-44BF-9FBF-55AD31A30CB4}"/>
            </c:ext>
          </c:extLst>
        </c:ser>
        <c:ser>
          <c:idx val="2"/>
          <c:order val="2"/>
          <c:tx>
            <c:strRef>
              <c:f>'C.Negocio'!$B$107</c:f>
              <c:strCache>
                <c:ptCount val="1"/>
                <c:pt idx="0">
                  <c:v>Media TopTen</c:v>
                </c:pt>
              </c:strCache>
            </c:strRef>
          </c:tx>
          <c:invertIfNegative val="0"/>
          <c:val>
            <c:numRef>
              <c:f>'C.Negocio'!$C$107</c:f>
              <c:numCache>
                <c:formatCode>General</c:formatCode>
                <c:ptCount val="1"/>
                <c:pt idx="0">
                  <c:v>3.79</c:v>
                </c:pt>
              </c:numCache>
            </c:numRef>
          </c:val>
          <c:extLst>
            <c:ext xmlns:c16="http://schemas.microsoft.com/office/drawing/2014/chart" uri="{C3380CC4-5D6E-409C-BE32-E72D297353CC}">
              <c16:uniqueId val="{00000002-19DB-44BF-9FBF-55AD31A30CB4}"/>
            </c:ext>
          </c:extLst>
        </c:ser>
        <c:dLbls>
          <c:showLegendKey val="0"/>
          <c:showVal val="0"/>
          <c:showCatName val="0"/>
          <c:showSerName val="0"/>
          <c:showPercent val="0"/>
          <c:showBubbleSize val="0"/>
        </c:dLbls>
        <c:gapWidth val="150"/>
        <c:axId val="70840704"/>
        <c:axId val="70842240"/>
      </c:barChart>
      <c:catAx>
        <c:axId val="70840704"/>
        <c:scaling>
          <c:orientation val="minMax"/>
        </c:scaling>
        <c:delete val="1"/>
        <c:axPos val="l"/>
        <c:numFmt formatCode="General" sourceLinked="1"/>
        <c:majorTickMark val="out"/>
        <c:minorTickMark val="none"/>
        <c:tickLblPos val="none"/>
        <c:crossAx val="70842240"/>
        <c:crosses val="autoZero"/>
        <c:auto val="1"/>
        <c:lblAlgn val="ctr"/>
        <c:lblOffset val="100"/>
        <c:noMultiLvlLbl val="0"/>
      </c:catAx>
      <c:valAx>
        <c:axId val="70842240"/>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40704"/>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'C.Negocio'!$B$121</c:f>
              <c:strCache>
                <c:ptCount val="1"/>
                <c:pt idx="0">
                  <c:v>AutoEvaluación</c:v>
                </c:pt>
              </c:strCache>
            </c:strRef>
          </c:tx>
          <c:invertIfNegative val="0"/>
          <c:val>
            <c:numRef>
              <c:f>'C.Negocio'!$C$121</c:f>
              <c:numCache>
                <c:formatCode>General</c:formatCode>
                <c:ptCount val="1"/>
                <c:pt idx="0">
                  <c:v>0</c:v>
                </c:pt>
              </c:numCache>
            </c:numRef>
          </c:val>
          <c:extLst>
            <c:ext xmlns:c16="http://schemas.microsoft.com/office/drawing/2014/chart" uri="{C3380CC4-5D6E-409C-BE32-E72D297353CC}">
              <c16:uniqueId val="{00000000-A353-437F-99AF-62863631FF31}"/>
            </c:ext>
          </c:extLst>
        </c:ser>
        <c:ser>
          <c:idx val="1"/>
          <c:order val="1"/>
          <c:tx>
            <c:strRef>
              <c:f>'C.Negocio'!$B$122</c:f>
              <c:strCache>
                <c:ptCount val="1"/>
                <c:pt idx="0">
                  <c:v>Media Externa</c:v>
                </c:pt>
              </c:strCache>
            </c:strRef>
          </c:tx>
          <c:invertIfNegative val="0"/>
          <c:val>
            <c:numRef>
              <c:f>'C.Negocio'!$C$122</c:f>
              <c:numCache>
                <c:formatCode>General</c:formatCode>
                <c:ptCount val="1"/>
                <c:pt idx="0">
                  <c:v>0</c:v>
                </c:pt>
              </c:numCache>
            </c:numRef>
          </c:val>
          <c:extLst>
            <c:ext xmlns:c16="http://schemas.microsoft.com/office/drawing/2014/chart" uri="{C3380CC4-5D6E-409C-BE32-E72D297353CC}">
              <c16:uniqueId val="{00000001-A353-437F-99AF-62863631FF31}"/>
            </c:ext>
          </c:extLst>
        </c:ser>
        <c:ser>
          <c:idx val="2"/>
          <c:order val="2"/>
          <c:tx>
            <c:strRef>
              <c:f>'C.Negocio'!$B$123</c:f>
              <c:strCache>
                <c:ptCount val="1"/>
                <c:pt idx="0">
                  <c:v>Media TopTen</c:v>
                </c:pt>
              </c:strCache>
            </c:strRef>
          </c:tx>
          <c:invertIfNegative val="0"/>
          <c:val>
            <c:numRef>
              <c:f>'C.Negocio'!$C$123</c:f>
              <c:numCache>
                <c:formatCode>General</c:formatCode>
                <c:ptCount val="1"/>
                <c:pt idx="0">
                  <c:v>3.98</c:v>
                </c:pt>
              </c:numCache>
            </c:numRef>
          </c:val>
          <c:extLst>
            <c:ext xmlns:c16="http://schemas.microsoft.com/office/drawing/2014/chart" uri="{C3380CC4-5D6E-409C-BE32-E72D297353CC}">
              <c16:uniqueId val="{00000002-A353-437F-99AF-62863631FF31}"/>
            </c:ext>
          </c:extLst>
        </c:ser>
        <c:dLbls>
          <c:showLegendKey val="0"/>
          <c:showVal val="0"/>
          <c:showCatName val="0"/>
          <c:showSerName val="0"/>
          <c:showPercent val="0"/>
          <c:showBubbleSize val="0"/>
        </c:dLbls>
        <c:gapWidth val="150"/>
        <c:axId val="70873856"/>
        <c:axId val="70875392"/>
      </c:barChart>
      <c:catAx>
        <c:axId val="70873856"/>
        <c:scaling>
          <c:orientation val="minMax"/>
        </c:scaling>
        <c:delete val="1"/>
        <c:axPos val="l"/>
        <c:numFmt formatCode="General" sourceLinked="1"/>
        <c:majorTickMark val="out"/>
        <c:minorTickMark val="none"/>
        <c:tickLblPos val="none"/>
        <c:crossAx val="70875392"/>
        <c:crosses val="autoZero"/>
        <c:auto val="1"/>
        <c:lblAlgn val="ctr"/>
        <c:lblOffset val="100"/>
        <c:noMultiLvlLbl val="0"/>
      </c:catAx>
      <c:valAx>
        <c:axId val="708753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87385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'C.Negocio'!$B$134</c:f>
              <c:strCache>
                <c:ptCount val="1"/>
                <c:pt idx="0">
                  <c:v>AutoEvaluación</c:v>
                </c:pt>
              </c:strCache>
            </c:strRef>
          </c:tx>
          <c:invertIfNegative val="0"/>
          <c:val>
            <c:numRef>
              <c:f>'C.Negocio'!$C$134</c:f>
              <c:numCache>
                <c:formatCode>General</c:formatCode>
                <c:ptCount val="1"/>
                <c:pt idx="0">
                  <c:v>0</c:v>
                </c:pt>
              </c:numCache>
            </c:numRef>
          </c:val>
          <c:extLst>
            <c:ext xmlns:c16="http://schemas.microsoft.com/office/drawing/2014/chart" uri="{C3380CC4-5D6E-409C-BE32-E72D297353CC}">
              <c16:uniqueId val="{00000000-FF41-46E5-AE21-76EA0B0A3388}"/>
            </c:ext>
          </c:extLst>
        </c:ser>
        <c:ser>
          <c:idx val="1"/>
          <c:order val="1"/>
          <c:tx>
            <c:strRef>
              <c:f>'C.Negocio'!$B$135</c:f>
              <c:strCache>
                <c:ptCount val="1"/>
                <c:pt idx="0">
                  <c:v>Media Externa</c:v>
                </c:pt>
              </c:strCache>
            </c:strRef>
          </c:tx>
          <c:invertIfNegative val="0"/>
          <c:val>
            <c:numRef>
              <c:f>'C.Negocio'!$C$135</c:f>
              <c:numCache>
                <c:formatCode>General</c:formatCode>
                <c:ptCount val="1"/>
                <c:pt idx="0">
                  <c:v>0</c:v>
                </c:pt>
              </c:numCache>
            </c:numRef>
          </c:val>
          <c:extLst>
            <c:ext xmlns:c16="http://schemas.microsoft.com/office/drawing/2014/chart" uri="{C3380CC4-5D6E-409C-BE32-E72D297353CC}">
              <c16:uniqueId val="{00000001-FF41-46E5-AE21-76EA0B0A3388}"/>
            </c:ext>
          </c:extLst>
        </c:ser>
        <c:ser>
          <c:idx val="2"/>
          <c:order val="2"/>
          <c:tx>
            <c:strRef>
              <c:f>'C.Negocio'!$B$136</c:f>
              <c:strCache>
                <c:ptCount val="1"/>
                <c:pt idx="0">
                  <c:v>Media TopTen</c:v>
                </c:pt>
              </c:strCache>
            </c:strRef>
          </c:tx>
          <c:invertIfNegative val="0"/>
          <c:val>
            <c:numRef>
              <c:f>'C.Negocio'!$C$136</c:f>
              <c:numCache>
                <c:formatCode>General</c:formatCode>
                <c:ptCount val="1"/>
                <c:pt idx="0">
                  <c:v>3.86</c:v>
                </c:pt>
              </c:numCache>
            </c:numRef>
          </c:val>
          <c:extLst>
            <c:ext xmlns:c16="http://schemas.microsoft.com/office/drawing/2014/chart" uri="{C3380CC4-5D6E-409C-BE32-E72D297353CC}">
              <c16:uniqueId val="{00000002-FF41-46E5-AE21-76EA0B0A3388}"/>
            </c:ext>
          </c:extLst>
        </c:ser>
        <c:dLbls>
          <c:showLegendKey val="0"/>
          <c:showVal val="0"/>
          <c:showCatName val="0"/>
          <c:showSerName val="0"/>
          <c:showPercent val="0"/>
          <c:showBubbleSize val="0"/>
        </c:dLbls>
        <c:gapWidth val="150"/>
        <c:axId val="70926336"/>
        <c:axId val="70927872"/>
      </c:barChart>
      <c:catAx>
        <c:axId val="70926336"/>
        <c:scaling>
          <c:orientation val="minMax"/>
        </c:scaling>
        <c:delete val="1"/>
        <c:axPos val="l"/>
        <c:numFmt formatCode="General" sourceLinked="1"/>
        <c:majorTickMark val="out"/>
        <c:minorTickMark val="none"/>
        <c:tickLblPos val="none"/>
        <c:crossAx val="70927872"/>
        <c:crosses val="autoZero"/>
        <c:auto val="1"/>
        <c:lblAlgn val="ctr"/>
        <c:lblOffset val="100"/>
        <c:noMultiLvlLbl val="0"/>
      </c:catAx>
      <c:valAx>
        <c:axId val="7092787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26336"/>
        <c:crosses val="autoZero"/>
        <c:crossBetween val="between"/>
      </c:valAx>
    </c:plotArea>
    <c:legend>
      <c:legendPos val="r"/>
      <c:layout>
        <c:manualLayout>
          <c:xMode val="edge"/>
          <c:yMode val="edge"/>
          <c:x val="8.7620018454854075E-3"/>
          <c:y val="0.14333354778456558"/>
          <c:w val="0.2606823738175099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'C.Negocio'!$B$146</c:f>
              <c:strCache>
                <c:ptCount val="1"/>
                <c:pt idx="0">
                  <c:v>AutoEvaluación</c:v>
                </c:pt>
              </c:strCache>
            </c:strRef>
          </c:tx>
          <c:invertIfNegative val="0"/>
          <c:val>
            <c:numRef>
              <c:f>'C.Negocio'!$C$146</c:f>
              <c:numCache>
                <c:formatCode>General</c:formatCode>
                <c:ptCount val="1"/>
                <c:pt idx="0">
                  <c:v>0</c:v>
                </c:pt>
              </c:numCache>
            </c:numRef>
          </c:val>
          <c:extLst>
            <c:ext xmlns:c16="http://schemas.microsoft.com/office/drawing/2014/chart" uri="{C3380CC4-5D6E-409C-BE32-E72D297353CC}">
              <c16:uniqueId val="{00000000-B3EA-4776-83A0-9F6DEC5DE650}"/>
            </c:ext>
          </c:extLst>
        </c:ser>
        <c:ser>
          <c:idx val="1"/>
          <c:order val="1"/>
          <c:tx>
            <c:strRef>
              <c:f>'C.Negocio'!$B$147</c:f>
              <c:strCache>
                <c:ptCount val="1"/>
                <c:pt idx="0">
                  <c:v>Media Externa</c:v>
                </c:pt>
              </c:strCache>
            </c:strRef>
          </c:tx>
          <c:invertIfNegative val="0"/>
          <c:val>
            <c:numRef>
              <c:f>'C.Negocio'!$C$147</c:f>
              <c:numCache>
                <c:formatCode>General</c:formatCode>
                <c:ptCount val="1"/>
                <c:pt idx="0">
                  <c:v>0</c:v>
                </c:pt>
              </c:numCache>
            </c:numRef>
          </c:val>
          <c:extLst>
            <c:ext xmlns:c16="http://schemas.microsoft.com/office/drawing/2014/chart" uri="{C3380CC4-5D6E-409C-BE32-E72D297353CC}">
              <c16:uniqueId val="{00000001-B3EA-4776-83A0-9F6DEC5DE650}"/>
            </c:ext>
          </c:extLst>
        </c:ser>
        <c:ser>
          <c:idx val="2"/>
          <c:order val="2"/>
          <c:tx>
            <c:strRef>
              <c:f>'C.Negocio'!$B$148</c:f>
              <c:strCache>
                <c:ptCount val="1"/>
                <c:pt idx="0">
                  <c:v>Media TopTen</c:v>
                </c:pt>
              </c:strCache>
            </c:strRef>
          </c:tx>
          <c:invertIfNegative val="0"/>
          <c:val>
            <c:numRef>
              <c:f>'C.Negocio'!$C$148</c:f>
              <c:numCache>
                <c:formatCode>General</c:formatCode>
                <c:ptCount val="1"/>
                <c:pt idx="0">
                  <c:v>3.82</c:v>
                </c:pt>
              </c:numCache>
            </c:numRef>
          </c:val>
          <c:extLst>
            <c:ext xmlns:c16="http://schemas.microsoft.com/office/drawing/2014/chart" uri="{C3380CC4-5D6E-409C-BE32-E72D297353CC}">
              <c16:uniqueId val="{00000002-B3EA-4776-83A0-9F6DEC5DE650}"/>
            </c:ext>
          </c:extLst>
        </c:ser>
        <c:dLbls>
          <c:showLegendKey val="0"/>
          <c:showVal val="0"/>
          <c:showCatName val="0"/>
          <c:showSerName val="0"/>
          <c:showPercent val="0"/>
          <c:showBubbleSize val="0"/>
        </c:dLbls>
        <c:gapWidth val="150"/>
        <c:axId val="70962560"/>
        <c:axId val="68158592"/>
      </c:barChart>
      <c:catAx>
        <c:axId val="70962560"/>
        <c:scaling>
          <c:orientation val="minMax"/>
        </c:scaling>
        <c:delete val="1"/>
        <c:axPos val="l"/>
        <c:numFmt formatCode="General" sourceLinked="1"/>
        <c:majorTickMark val="out"/>
        <c:minorTickMark val="none"/>
        <c:tickLblPos val="none"/>
        <c:crossAx val="68158592"/>
        <c:crosses val="autoZero"/>
        <c:auto val="1"/>
        <c:lblAlgn val="ctr"/>
        <c:lblOffset val="100"/>
        <c:noMultiLvlLbl val="0"/>
      </c:catAx>
      <c:valAx>
        <c:axId val="68158592"/>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70962560"/>
        <c:crosses val="autoZero"/>
        <c:crossBetween val="between"/>
      </c:valAx>
    </c:plotArea>
    <c:legend>
      <c:legendPos val="r"/>
      <c:layout>
        <c:manualLayout>
          <c:xMode val="edge"/>
          <c:yMode val="edge"/>
          <c:x val="1.1637672386768518E-2"/>
          <c:y val="0.14333354778456558"/>
          <c:w val="0.25780666693063886"/>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10"/>
    </mc:Choice>
    <mc:Fallback>
      <c:style val="10"/>
    </mc:Fallback>
  </mc:AlternateContent>
  <c:chart>
    <c:autoTitleDeleted val="1"/>
    <c:plotArea>
      <c:layout>
        <c:manualLayout>
          <c:layoutTarget val="inner"/>
          <c:xMode val="edge"/>
          <c:yMode val="edge"/>
          <c:x val="0.28671106736657931"/>
          <c:y val="7.407407407407407E-2"/>
          <c:w val="0.69028893263342472"/>
          <c:h val="0.84167468649752575"/>
        </c:manualLayout>
      </c:layout>
      <c:barChart>
        <c:barDir val="bar"/>
        <c:grouping val="clustered"/>
        <c:varyColors val="0"/>
        <c:ser>
          <c:idx val="0"/>
          <c:order val="0"/>
          <c:tx>
            <c:strRef>
              <c:f>'C.Negocio'!$B$159</c:f>
              <c:strCache>
                <c:ptCount val="1"/>
                <c:pt idx="0">
                  <c:v>AutoEvaluación</c:v>
                </c:pt>
              </c:strCache>
            </c:strRef>
          </c:tx>
          <c:invertIfNegative val="0"/>
          <c:val>
            <c:numRef>
              <c:f>'C.Negocio'!$C$159</c:f>
              <c:numCache>
                <c:formatCode>General</c:formatCode>
                <c:ptCount val="1"/>
                <c:pt idx="0">
                  <c:v>0</c:v>
                </c:pt>
              </c:numCache>
            </c:numRef>
          </c:val>
          <c:extLst>
            <c:ext xmlns:c16="http://schemas.microsoft.com/office/drawing/2014/chart" uri="{C3380CC4-5D6E-409C-BE32-E72D297353CC}">
              <c16:uniqueId val="{00000000-74C8-4232-9085-87AC6CE6EF80}"/>
            </c:ext>
          </c:extLst>
        </c:ser>
        <c:ser>
          <c:idx val="1"/>
          <c:order val="1"/>
          <c:tx>
            <c:strRef>
              <c:f>'C.Negocio'!$B$160</c:f>
              <c:strCache>
                <c:ptCount val="1"/>
                <c:pt idx="0">
                  <c:v>Media Externa</c:v>
                </c:pt>
              </c:strCache>
            </c:strRef>
          </c:tx>
          <c:invertIfNegative val="0"/>
          <c:val>
            <c:numRef>
              <c:f>'C.Negocio'!$C$160</c:f>
              <c:numCache>
                <c:formatCode>General</c:formatCode>
                <c:ptCount val="1"/>
                <c:pt idx="0">
                  <c:v>0</c:v>
                </c:pt>
              </c:numCache>
            </c:numRef>
          </c:val>
          <c:extLst>
            <c:ext xmlns:c16="http://schemas.microsoft.com/office/drawing/2014/chart" uri="{C3380CC4-5D6E-409C-BE32-E72D297353CC}">
              <c16:uniqueId val="{00000001-74C8-4232-9085-87AC6CE6EF80}"/>
            </c:ext>
          </c:extLst>
        </c:ser>
        <c:ser>
          <c:idx val="2"/>
          <c:order val="2"/>
          <c:tx>
            <c:strRef>
              <c:f>'C.Negocio'!$B$161</c:f>
              <c:strCache>
                <c:ptCount val="1"/>
                <c:pt idx="0">
                  <c:v>Media TopTen</c:v>
                </c:pt>
              </c:strCache>
            </c:strRef>
          </c:tx>
          <c:invertIfNegative val="0"/>
          <c:val>
            <c:numRef>
              <c:f>'C.Negocio'!$C$161</c:f>
              <c:numCache>
                <c:formatCode>General</c:formatCode>
                <c:ptCount val="1"/>
                <c:pt idx="0">
                  <c:v>3.81</c:v>
                </c:pt>
              </c:numCache>
            </c:numRef>
          </c:val>
          <c:extLst>
            <c:ext xmlns:c16="http://schemas.microsoft.com/office/drawing/2014/chart" uri="{C3380CC4-5D6E-409C-BE32-E72D297353CC}">
              <c16:uniqueId val="{00000002-74C8-4232-9085-87AC6CE6EF80}"/>
            </c:ext>
          </c:extLst>
        </c:ser>
        <c:dLbls>
          <c:showLegendKey val="0"/>
          <c:showVal val="0"/>
          <c:showCatName val="0"/>
          <c:showSerName val="0"/>
          <c:showPercent val="0"/>
          <c:showBubbleSize val="0"/>
        </c:dLbls>
        <c:gapWidth val="150"/>
        <c:axId val="68185088"/>
        <c:axId val="68203264"/>
      </c:barChart>
      <c:catAx>
        <c:axId val="68185088"/>
        <c:scaling>
          <c:orientation val="minMax"/>
        </c:scaling>
        <c:delete val="1"/>
        <c:axPos val="l"/>
        <c:numFmt formatCode="General" sourceLinked="1"/>
        <c:majorTickMark val="out"/>
        <c:minorTickMark val="none"/>
        <c:tickLblPos val="none"/>
        <c:crossAx val="68203264"/>
        <c:crosses val="autoZero"/>
        <c:auto val="1"/>
        <c:lblAlgn val="ctr"/>
        <c:lblOffset val="100"/>
        <c:noMultiLvlLbl val="0"/>
      </c:catAx>
      <c:valAx>
        <c:axId val="68203264"/>
        <c:scaling>
          <c:orientation val="minMax"/>
          <c:max val="5"/>
          <c:min val="2"/>
        </c:scaling>
        <c:delete val="0"/>
        <c:axPos val="b"/>
        <c:majorGridlines/>
        <c:numFmt formatCode="General" sourceLinked="1"/>
        <c:majorTickMark val="out"/>
        <c:minorTickMark val="none"/>
        <c:tickLblPos val="nextTo"/>
        <c:txPr>
          <a:bodyPr rot="-60000000" vert="horz"/>
          <a:lstStyle/>
          <a:p>
            <a:pPr>
              <a:defRPr/>
            </a:pPr>
            <a:endParaRPr lang="eu-ES"/>
          </a:p>
        </c:txPr>
        <c:crossAx val="68185088"/>
        <c:crosses val="autoZero"/>
        <c:crossBetween val="between"/>
      </c:valAx>
    </c:plotArea>
    <c:legend>
      <c:legendPos val="r"/>
      <c:layout>
        <c:manualLayout>
          <c:xMode val="edge"/>
          <c:yMode val="edge"/>
          <c:x val="5.9535292384533412E-3"/>
          <c:y val="0.14333354778456558"/>
          <c:w val="0.26349091033447442"/>
          <c:h val="0.59820723483046156"/>
        </c:manualLayout>
      </c:layout>
      <c:overlay val="0"/>
      <c:txPr>
        <a:bodyPr rot="0" vert="horz"/>
        <a:lstStyle/>
        <a:p>
          <a:pPr>
            <a:defRPr/>
          </a:pPr>
          <a:endParaRPr lang="eu-ES"/>
        </a:p>
      </c:txPr>
    </c:legend>
    <c:plotVisOnly val="1"/>
    <c:dispBlanksAs val="gap"/>
    <c:showDLblsOverMax val="0"/>
  </c:chart>
  <c:printSettings>
    <c:headerFooter/>
    <c:pageMargins b="0.75000000000000266" l="0.70000000000000062" r="0.70000000000000062" t="0.75000000000000266" header="0.30000000000000032" footer="0.30000000000000032"/>
    <c:pageSetup orientation="portrait"/>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462990420548595"/>
          <c:y val="0.11262798994441399"/>
          <c:w val="0.48141782487261953"/>
          <c:h val="0.71410650775967643"/>
        </c:manualLayout>
      </c:layout>
      <c:radarChart>
        <c:radarStyle val="marker"/>
        <c:varyColors val="0"/>
        <c:ser>
          <c:idx val="0"/>
          <c:order val="0"/>
          <c:tx>
            <c:strRef>
              <c:f>'Radial A'!$C$9</c:f>
              <c:strCache>
                <c:ptCount val="1"/>
                <c:pt idx="0">
                  <c:v>AutoEvaluación</c:v>
                </c:pt>
              </c:strCache>
            </c:strRef>
          </c:tx>
          <c:spPr>
            <a:ln w="19050"/>
            <a:effectLst/>
          </c:spPr>
          <c:marker>
            <c:spPr>
              <a:ln w="6350"/>
            </c:spPr>
          </c:marke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A'!$C$10:$C$21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F82-4AE3-9550-EEE47B76B026}"/>
            </c:ext>
          </c:extLst>
        </c:ser>
        <c:ser>
          <c:idx val="1"/>
          <c:order val="1"/>
          <c:tx>
            <c:strRef>
              <c:f>'Radial A'!$D$9</c:f>
              <c:strCache>
                <c:ptCount val="1"/>
                <c:pt idx="0">
                  <c:v>Media Externa</c:v>
                </c:pt>
              </c:strCache>
            </c:strRef>
          </c:tx>
          <c:spPr>
            <a:ln w="15875">
              <a:solidFill>
                <a:schemeClr val="accent2"/>
              </a:solidFill>
              <a:round/>
            </a:ln>
          </c:spPr>
          <c:cat>
            <c:strRef>
              <c:f>'Radial A'!$B$10:$B$21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A'!$D$10:$D$21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1485312"/>
        <c:axId val="71486848"/>
      </c:radarChart>
      <c:catAx>
        <c:axId val="71485312"/>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1486848"/>
        <c:crosses val="autoZero"/>
        <c:auto val="1"/>
        <c:lblAlgn val="ctr"/>
        <c:lblOffset val="100"/>
        <c:noMultiLvlLbl val="0"/>
      </c:catAx>
      <c:valAx>
        <c:axId val="71486848"/>
        <c:scaling>
          <c:orientation val="minMax"/>
          <c:max val="5"/>
          <c:min val="0"/>
        </c:scaling>
        <c:delete val="0"/>
        <c:axPos val="l"/>
        <c:majorGridlines>
          <c:spPr>
            <a:ln w="9525" cap="rnd"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vert="horz"/>
          <a:lstStyle/>
          <a:p>
            <a:pPr>
              <a:defRPr/>
            </a:pPr>
            <a:endParaRPr lang="eu-ES"/>
          </a:p>
        </c:txPr>
        <c:crossAx val="71485312"/>
        <c:crosses val="autoZero"/>
        <c:crossBetween val="between"/>
        <c:minorUnit val="1"/>
      </c:valAx>
      <c:spPr>
        <a:solidFill>
          <a:schemeClr val="bg1"/>
        </a:solidFill>
        <a:ln>
          <a:noFill/>
        </a:ln>
        <a:effectLst/>
      </c:spPr>
    </c:plotArea>
    <c:legend>
      <c:legendPos val="t"/>
      <c:layout>
        <c:manualLayout>
          <c:xMode val="edge"/>
          <c:yMode val="edge"/>
          <c:x val="0.2500695884190145"/>
          <c:y val="0.91439292474504641"/>
          <c:w val="0.49125096170146343"/>
          <c:h val="4.9234378467488786E-2"/>
        </c:manualLayout>
      </c:layout>
      <c:overlay val="0"/>
      <c:spPr>
        <a:noFill/>
        <a:ln>
          <a:noFill/>
        </a:ln>
        <a:effectLst/>
      </c:spPr>
      <c:txPr>
        <a:bodyPr rot="0" vert="horz"/>
        <a:lstStyle/>
        <a:p>
          <a:pPr>
            <a:defRPr/>
          </a:pPr>
          <a:endParaRPr lang="eu-E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lgn="ctr">
        <a:defRPr lang="en-US" sz="1000" b="1" i="0" u="none" strike="noStrike" kern="1200" baseline="0">
          <a:solidFill>
            <a:schemeClr val="tx1"/>
          </a:solidFill>
          <a:latin typeface="+mn-lt"/>
          <a:ea typeface="+mn-ea"/>
          <a:cs typeface="+mn-cs"/>
        </a:defRPr>
      </a:pPr>
      <a:endParaRPr lang="eu-ES"/>
    </a:p>
  </c:txPr>
  <c:printSettings>
    <c:headerFooter>
      <c:oddFooter><![CDATA[&Z&"Calibri,Normal"&K000000&G&C&"Calibri,Normal"&K000000Mariano Vilallonga - Feedback 360° &D&"Calibri,Normal"&K000000
Página &P]]></c:oddFooter>
    </c:headerFooter>
    <c:pageMargins b="0.75000000000000266" l="0.70000000000000062" r="0.70000000000000062" t="0.75000000000000266" header="0.30000000000000032" footer="0.30000000000000032"/>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6236070559610708"/>
          <c:y val="0.18421618357487923"/>
          <c:w val="0.4752785888077859"/>
          <c:h val="0.56620144927536231"/>
        </c:manualLayout>
      </c:layout>
      <c:radarChart>
        <c:radarStyle val="marker"/>
        <c:varyColors val="0"/>
        <c:ser>
          <c:idx val="0"/>
          <c:order val="0"/>
          <c:tx>
            <c:strRef>
              <c:f>'Radial B'!$C$9</c:f>
              <c:strCache>
                <c:ptCount val="1"/>
                <c:pt idx="0">
                  <c:v>Media TopTen</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B'!$C$10:$C$21</c:f>
              <c:numCache>
                <c:formatCode>_-* #,##0.00_-;\-* #,##0.00_-;_-* "-"??_-;_-@_-</c:formatCode>
                <c:ptCount val="12"/>
                <c:pt idx="0">
                  <c:v>3.92</c:v>
                </c:pt>
                <c:pt idx="1">
                  <c:v>3.89</c:v>
                </c:pt>
                <c:pt idx="2">
                  <c:v>3.82</c:v>
                </c:pt>
                <c:pt idx="3">
                  <c:v>3.85</c:v>
                </c:pt>
                <c:pt idx="4">
                  <c:v>3.86</c:v>
                </c:pt>
                <c:pt idx="5">
                  <c:v>3.92</c:v>
                </c:pt>
                <c:pt idx="6">
                  <c:v>3.93</c:v>
                </c:pt>
                <c:pt idx="7">
                  <c:v>3.79</c:v>
                </c:pt>
                <c:pt idx="8">
                  <c:v>3.98</c:v>
                </c:pt>
                <c:pt idx="9">
                  <c:v>3.86</c:v>
                </c:pt>
                <c:pt idx="10">
                  <c:v>3.82</c:v>
                </c:pt>
                <c:pt idx="11">
                  <c:v>3.81</c:v>
                </c:pt>
              </c:numCache>
            </c:numRef>
          </c:val>
          <c:extLst>
            <c:ext xmlns:c16="http://schemas.microsoft.com/office/drawing/2014/chart" uri="{C3380CC4-5D6E-409C-BE32-E72D297353CC}">
              <c16:uniqueId val="{00000000-6F82-4AE3-9550-EEE47B76B026}"/>
            </c:ext>
          </c:extLst>
        </c:ser>
        <c:ser>
          <c:idx val="1"/>
          <c:order val="1"/>
          <c:tx>
            <c:strRef>
              <c:f>'Radial B'!$D$9</c:f>
              <c:strCache>
                <c:ptCount val="1"/>
                <c:pt idx="0">
                  <c:v>Media Externa</c:v>
                </c:pt>
              </c:strCache>
            </c:strRef>
          </c:tx>
          <c:spPr>
            <a:effectLst/>
          </c:spPr>
          <c:cat>
            <c:strRef>
              <c:f>'Radial B'!$B$10:$B$21</c:f>
              <c:strCache>
                <c:ptCount val="12"/>
                <c:pt idx="0">
                  <c:v>Visión estratégica de negocio</c:v>
                </c:pt>
                <c:pt idx="1">
                  <c:v>Orientación al cliente</c:v>
                </c:pt>
                <c:pt idx="2">
                  <c:v>Networking</c:v>
                </c:pt>
                <c:pt idx="3">
                  <c:v>Negociación</c:v>
                </c:pt>
                <c:pt idx="4">
                  <c:v>Comunicación</c:v>
                </c:pt>
                <c:pt idx="5">
                  <c:v>Delegación</c:v>
                </c:pt>
                <c:pt idx="6">
                  <c:v>Dirección de equipos</c:v>
                </c:pt>
                <c:pt idx="7">
                  <c:v>Gestión del talento</c:v>
                </c:pt>
                <c:pt idx="8">
                  <c:v>Análisis de problemas y Toma de decisiones</c:v>
                </c:pt>
                <c:pt idx="9">
                  <c:v>Gestion del tiempo y Priorización</c:v>
                </c:pt>
                <c:pt idx="10">
                  <c:v>Gestión del cambio y Aprendizaje</c:v>
                </c:pt>
                <c:pt idx="11">
                  <c:v>Autocontrol y Equilibrio</c:v>
                </c:pt>
              </c:strCache>
            </c:strRef>
          </c:cat>
          <c:val>
            <c:numRef>
              <c:f>'Radial B'!$D$10:$D$21</c:f>
              <c:numCache>
                <c:formatCode>_-* #,##0.00_-;\-* #,##0.00_-;_-* "-"??_-;_-@_-</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6F82-4AE3-9550-EEE47B76B026}"/>
            </c:ext>
          </c:extLst>
        </c:ser>
        <c:dLbls>
          <c:showLegendKey val="0"/>
          <c:showVal val="0"/>
          <c:showCatName val="0"/>
          <c:showSerName val="0"/>
          <c:showPercent val="0"/>
          <c:showBubbleSize val="0"/>
        </c:dLbls>
        <c:axId val="72012544"/>
        <c:axId val="72014080"/>
      </c:radarChart>
      <c:catAx>
        <c:axId val="72012544"/>
        <c:scaling>
          <c:orientation val="minMax"/>
        </c:scaling>
        <c:delete val="0"/>
        <c:axPos val="b"/>
        <c:majorGridlines/>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u-ES"/>
          </a:p>
        </c:txPr>
        <c:crossAx val="72014080"/>
        <c:crosses val="autoZero"/>
        <c:auto val="1"/>
        <c:lblAlgn val="ctr"/>
        <c:lblOffset val="100"/>
        <c:noMultiLvlLbl val="0"/>
      </c:catAx>
      <c:valAx>
        <c:axId val="72014080"/>
        <c:scaling>
          <c:orientation val="minMax"/>
          <c:max val="5"/>
          <c:min val="0"/>
        </c:scaling>
        <c:delete val="0"/>
        <c:axPos val="l"/>
        <c:majorGridlines>
          <c:spPr>
            <a:ln w="9525" cap="flat" cmpd="sng" algn="ctr">
              <a:solidFill>
                <a:schemeClr val="tx1">
                  <a:lumMod val="15000"/>
                  <a:lumOff val="85000"/>
                </a:schemeClr>
              </a:solidFill>
              <a:round/>
            </a:ln>
            <a:effectLst/>
          </c:spPr>
        </c:majorGridlines>
        <c:numFmt formatCode="General" sourceLinked="0"/>
        <c:majorTickMark val="cross"/>
        <c:minorTickMark val="cross"/>
        <c:tickLblPos val="high"/>
        <c:spPr>
          <a:noFill/>
          <a:ln>
            <a:noFill/>
          </a:ln>
          <a:effectLst/>
        </c:spPr>
        <c:txPr>
          <a:bodyPr rot="-60000000" vert="horz"/>
          <a:lstStyle/>
          <a:p>
            <a:pPr>
              <a:defRPr/>
            </a:pPr>
            <a:endParaRPr lang="eu-ES"/>
          </a:p>
        </c:txPr>
        <c:crossAx val="72012544"/>
        <c:crosses val="autoZero"/>
        <c:crossBetween val="between"/>
        <c:majorUnit val="1"/>
        <c:minorUnit val="1"/>
      </c:valAx>
      <c:spPr>
        <a:noFill/>
        <a:ln>
          <a:noFill/>
        </a:ln>
        <a:effectLst/>
      </c:spPr>
    </c:plotArea>
    <c:legend>
      <c:legendPos val="t"/>
      <c:layout>
        <c:manualLayout>
          <c:xMode val="edge"/>
          <c:yMode val="edge"/>
          <c:x val="0.27169484995944848"/>
          <c:y val="0.91415144927536229"/>
          <c:w val="0.45318469482325013"/>
          <c:h val="5.1551276968945729E-2"/>
        </c:manualLayout>
      </c:layout>
      <c:overlay val="0"/>
      <c:spPr>
        <a:noFill/>
        <a:ln>
          <a:noFill/>
        </a:ln>
        <a:effectLst/>
      </c:spPr>
      <c:txPr>
        <a:bodyPr rot="0" vert="horz"/>
        <a:lstStyle/>
        <a:p>
          <a:pPr>
            <a:defRPr sz="1050"/>
          </a:pPr>
          <a:endParaRPr lang="eu-E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lang="en-US" sz="1000" b="1" i="0" u="none" strike="noStrike" kern="1200" baseline="0">
          <a:solidFill>
            <a:schemeClr val="tx1"/>
          </a:solidFill>
          <a:latin typeface="+mn-lt"/>
          <a:ea typeface="+mn-ea"/>
          <a:cs typeface="+mn-cs"/>
        </a:defRPr>
      </a:pPr>
      <a:endParaRPr lang="eu-ES"/>
    </a:p>
  </c:txPr>
  <c:printSettings>
    <c:headerFooter/>
    <c:pageMargins b="0.75000000000000266" l="0.70000000000000062" r="0.70000000000000062" t="0.75000000000000266" header="0.30000000000000032" footer="0.30000000000000032"/>
    <c:pageSetup/>
  </c:printSettings>
</c:chartSpace>
</file>

<file path=xl/drawings/_rels/drawing4.xml.rels><?xml version="1.0" encoding="UTF-8" standalone="no"?><Relationships xmlns="http://schemas.openxmlformats.org/package/2006/relationships"><Relationship Id="rId1" Target="../charts/chart1.xml" Type="http://schemas.openxmlformats.org/officeDocument/2006/relationships/chart"/><Relationship Id="rId10" Target="../charts/chart10.xml" Type="http://schemas.openxmlformats.org/officeDocument/2006/relationships/chart"/><Relationship Id="rId11" Target="../charts/chart11.xml" Type="http://schemas.openxmlformats.org/officeDocument/2006/relationships/chart"/><Relationship Id="rId12" Target="../charts/chart12.xml" Type="http://schemas.openxmlformats.org/officeDocument/2006/relationships/chart"/><Relationship Id="rId2" Target="../charts/chart2.xml" Type="http://schemas.openxmlformats.org/officeDocument/2006/relationships/chart"/><Relationship Id="rId3" Target="../charts/chart3.xml" Type="http://schemas.openxmlformats.org/officeDocument/2006/relationships/chart"/><Relationship Id="rId4" Target="../charts/chart4.xml" Type="http://schemas.openxmlformats.org/officeDocument/2006/relationships/chart"/><Relationship Id="rId5" Target="../charts/chart5.xml" Type="http://schemas.openxmlformats.org/officeDocument/2006/relationships/chart"/><Relationship Id="rId6" Target="../charts/chart6.xml" Type="http://schemas.openxmlformats.org/officeDocument/2006/relationships/chart"/><Relationship Id="rId7" Target="../charts/chart7.xml" Type="http://schemas.openxmlformats.org/officeDocument/2006/relationships/chart"/><Relationship Id="rId8" Target="../charts/chart8.xml" Type="http://schemas.openxmlformats.org/officeDocument/2006/relationships/chart"/><Relationship Id="rId9" Target="../charts/chart9.xml" Type="http://schemas.openxmlformats.org/officeDocument/2006/relationships/chart"/></Relationships>
</file>

<file path=xl/drawings/_rels/drawing5.xml.rels><?xml version="1.0" encoding="UTF-8" standalone="no"?><Relationships xmlns="http://schemas.openxmlformats.org/package/2006/relationships"><Relationship Id="rId1" Target="../charts/chart13.xml" Type="http://schemas.openxmlformats.org/officeDocument/2006/relationships/chart"/></Relationships>
</file>

<file path=xl/drawings/_rels/drawing6.xml.rels><?xml version="1.0" encoding="UTF-8" standalone="no"?><Relationships xmlns="http://schemas.openxmlformats.org/package/2006/relationships"><Relationship Id="rId1" Target="../charts/chart14.xml" Type="http://schemas.openxmlformats.org/officeDocument/2006/relationships/chart"/></Relationships>
</file>

<file path=xl/drawings/_rels/vmlDrawing1.vml.rels><?xml version="1.0" encoding="UTF-8" standalone="no"?><Relationships xmlns="http://schemas.openxmlformats.org/package/2006/relationships"><Relationship Id="rId1" Target="../media/image1.jpeg" Type="http://schemas.openxmlformats.org/officeDocument/2006/relationships/image"/></Relationships>
</file>

<file path=xl/drawings/_rels/vmlDrawing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4.vml.rels><?xml version="1.0" encoding="UTF-8" standalone="no"?><Relationships xmlns="http://schemas.openxmlformats.org/package/2006/relationships"><Relationship Id="rId1" Target="../media/image2.png" Type="http://schemas.openxmlformats.org/officeDocument/2006/relationships/image"/></Relationships>
</file>

<file path=xl/drawings/_rels/vmlDrawing5.vml.rels><?xml version="1.0" encoding="UTF-8" standalone="no"?><Relationships xmlns="http://schemas.openxmlformats.org/package/2006/relationships"><Relationship Id="rId1" Target="../media/image2.png" Type="http://schemas.openxmlformats.org/officeDocument/2006/relationships/image"/></Relationships>
</file>

<file path=xl/drawings/_rels/vmlDrawing6.vml.rels><?xml version="1.0" encoding="UTF-8" standalone="no"?><Relationships xmlns="http://schemas.openxmlformats.org/package/2006/relationships"><Relationship Id="rId1" Target="../media/image2.png" Type="http://schemas.openxmlformats.org/officeDocument/2006/relationships/image"/></Relationships>
</file>

<file path=xl/drawings/_rels/vmlDrawing7.vml.rels><?xml version="1.0" encoding="UTF-8" standalone="no"?><Relationships xmlns="http://schemas.openxmlformats.org/package/2006/relationships"><Relationship Id="rId1" Target="../media/image2.png" Type="http://schemas.openxmlformats.org/officeDocument/2006/relationships/image"/></Relationships>
</file>

<file path=xl/drawings/_rels/vmlDrawing8.vml.rels><?xml version="1.0" encoding="UTF-8" standalone="no"?><Relationships xmlns="http://schemas.openxmlformats.org/package/2006/relationships"><Relationship Id="rId1" Target="../media/image2.png" Type="http://schemas.openxmlformats.org/officeDocument/2006/relationships/image"/></Relationships>
</file>

<file path=xl/drawings/_rels/vmlDrawing9.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0.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1.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2.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3.vml.rels><?xml version="1.0" encoding="UTF-8" standalone="no"?><Relationships xmlns="http://schemas.openxmlformats.org/package/2006/relationships"><Relationship Id="rId1" Target="../media/image2.png" Type="http://schemas.openxmlformats.org/officeDocument/2006/relationships/image"/></Relationships>
</file>

<file path=xl/drawings/_rels/vmlDrawing14.vml.rels><?xml version="1.0" encoding="UTF-8" standalone="no"?><Relationships xmlns="http://schemas.openxmlformats.org/package/2006/relationships"><Relationship Id="rId1" Target="../media/image2.png" Type="http://schemas.openxmlformats.org/officeDocument/2006/relationships/image"/></Relationships>
</file>

<file path=xl/drawings/drawing1.xml><?xml version="1.0" encoding="utf-8"?>
<xdr:wsDr xmlns:xdr="http://schemas.openxmlformats.org/drawingml/2006/spreadsheetDrawing" xmlns:a="http://schemas.openxmlformats.org/drawingml/2006/main">
  <xdr:oneCellAnchor>
    <xdr:from>
      <xdr:col>8</xdr:col>
      <xdr:colOff>188711</xdr:colOff>
      <xdr:row>28</xdr:row>
      <xdr:rowOff>66964</xdr:rowOff>
    </xdr:from>
    <xdr:ext cx="3187700" cy="2087880"/>
    <xdr:sp macro="" textlink="">
      <xdr:nvSpPr>
        <xdr:cNvPr id="5" name="4 CuadroTexto">
          <a:extLst>
            <a:ext uri="{FF2B5EF4-FFF2-40B4-BE49-F238E27FC236}">
              <a16:creationId xmlns:a16="http://schemas.microsoft.com/office/drawing/2014/main" id="{00000000-0008-0000-0000-000005000000}"/>
            </a:ext>
          </a:extLst>
        </xdr:cNvPr>
        <xdr:cNvSpPr txBox="1"/>
      </xdr:nvSpPr>
      <xdr:spPr>
        <a:xfrm>
          <a:off x="2998586" y="5505739"/>
          <a:ext cx="3187700" cy="2087880"/>
        </a:xfrm>
        <a:prstGeom prst="rect">
          <a:avLst/>
        </a:prstGeom>
        <a:ln>
          <a:noFill/>
        </a:ln>
      </xdr:spPr>
      <xdr:style>
        <a:lnRef idx="2">
          <a:schemeClr val="accent4"/>
        </a:lnRef>
        <a:fillRef idx="1">
          <a:schemeClr val="lt1"/>
        </a:fillRef>
        <a:effectRef idx="0">
          <a:schemeClr val="accent4"/>
        </a:effectRef>
        <a:fontRef idx="minor">
          <a:schemeClr val="dk1"/>
        </a:fontRef>
      </xdr:style>
      <xdr:txBody>
        <a:bodyPr vertOverflow="clip" wrap="square" rtlCol="0" anchor="t">
          <a:noAutofit/>
        </a:bodyPr>
        <a:lstStyle/>
        <a:p>
          <a:pPr algn="ctr"/>
          <a:endParaRPr lang="es-ES" sz="1200" b="1"/>
        </a:p>
        <a:p>
          <a:pPr algn="ctr"/>
          <a:endParaRPr lang="es-ES" sz="1100"/>
        </a:p>
        <a:p>
          <a:pPr algn="ctr"/>
          <a:r>
            <a:rPr lang="es-ES" sz="2200" b="1">
              <a:solidFill>
                <a:srgbClr val="800000"/>
              </a:solidFill>
            </a:rPr>
            <a:t>Informe Feedback 360</a:t>
          </a:r>
          <a:r>
            <a:rPr lang="es-ES" sz="2200" b="1">
              <a:solidFill>
                <a:srgbClr val="800000"/>
              </a:solidFill>
              <a:latin typeface="Century Gothic"/>
            </a:rPr>
            <a:t>°</a:t>
          </a:r>
        </a:p>
        <a:p>
          <a:pPr marL="0" marR="0" indent="0" algn="ctr" defTabSz="914400" eaLnBrk="1" fontAlgn="auto" latinLnBrk="0" hangingPunct="1">
            <a:lnSpc>
              <a:spcPct val="100000"/>
            </a:lnSpc>
            <a:spcBef>
              <a:spcPts val="0"/>
            </a:spcBef>
            <a:spcAft>
              <a:spcPts val="0"/>
            </a:spcAft>
            <a:buClrTx/>
            <a:buSzTx/>
            <a:buFontTx/>
            <a:buNone/>
            <a:tabLst/>
            <a:defRPr/>
          </a:pPr>
          <a:r>
            <a:rPr lang="es-ES" sz="2000" b="1">
              <a:solidFill>
                <a:srgbClr val="800000"/>
              </a:solidFill>
              <a:latin typeface="+mn-lt"/>
              <a:ea typeface="+mn-ea"/>
              <a:cs typeface="+mn-cs"/>
            </a:rPr>
            <a:t>Competencias Directivas</a:t>
          </a:r>
          <a:endParaRPr lang="es-ES" sz="2000">
            <a:solidFill>
              <a:srgbClr val="800000"/>
            </a:solidFill>
          </a:endParaRPr>
        </a:p>
        <a:p>
          <a:pPr algn="ctr"/>
          <a:endParaRPr lang="es-ES" sz="1800" b="1">
            <a:solidFill>
              <a:srgbClr val="800000"/>
            </a:solidFill>
            <a:latin typeface="Century Gothic"/>
          </a:endParaRPr>
        </a:p>
        <a:p>
          <a:pPr algn="ctr"/>
          <a:endParaRPr lang="es-ES" sz="1200"/>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0</xdr:col>
      <xdr:colOff>203947</xdr:colOff>
      <xdr:row>4</xdr:row>
      <xdr:rowOff>173130</xdr:rowOff>
    </xdr:from>
    <xdr:to>
      <xdr:col>1</xdr:col>
      <xdr:colOff>5723840</xdr:colOff>
      <xdr:row>46</xdr:row>
      <xdr:rowOff>92130</xdr:rowOff>
    </xdr:to>
    <xdr:sp macro="" textlink="">
      <xdr:nvSpPr>
        <xdr:cNvPr id="2" name="CuadroTexto 1">
          <a:extLst>
            <a:ext uri="{FF2B5EF4-FFF2-40B4-BE49-F238E27FC236}">
              <a16:creationId xmlns:a16="http://schemas.microsoft.com/office/drawing/2014/main" id="{00000000-0008-0000-0200-000002000000}"/>
            </a:ext>
          </a:extLst>
        </xdr:cNvPr>
        <xdr:cNvSpPr txBox="1"/>
      </xdr:nvSpPr>
      <xdr:spPr>
        <a:xfrm>
          <a:off x="203947" y="799059"/>
          <a:ext cx="5724000" cy="79200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spcBef>
              <a:spcPts val="0"/>
            </a:spcBef>
            <a:spcAft>
              <a:spcPts val="600"/>
            </a:spcAft>
          </a:pPr>
          <a:r>
            <a:rPr lang="es-ES" sz="1200">
              <a:solidFill>
                <a:srgbClr val="000000"/>
              </a:solidFill>
              <a:effectLst/>
              <a:latin typeface="+mn-lt"/>
              <a:ea typeface="+mn-ea"/>
              <a:cs typeface="+mn-cs"/>
            </a:rPr>
            <a:t>El Feedback 360° es una herramienta indispensable para el conocimiento propio y, en</a:t>
          </a:r>
          <a:r>
            <a:rPr lang="es-ES" sz="1200" baseline="0">
              <a:solidFill>
                <a:srgbClr val="000000"/>
              </a:solidFill>
              <a:effectLst/>
              <a:latin typeface="+mn-lt"/>
              <a:ea typeface="+mn-ea"/>
              <a:cs typeface="+mn-cs"/>
            </a:rPr>
            <a:t> ese sentido</a:t>
          </a:r>
          <a:r>
            <a:rPr lang="es-ES" sz="1200">
              <a:solidFill>
                <a:srgbClr val="000000"/>
              </a:solidFill>
              <a:effectLst/>
              <a:latin typeface="+mn-lt"/>
              <a:ea typeface="+mn-ea"/>
              <a:cs typeface="+mn-cs"/>
            </a:rPr>
            <a:t>, necesaria antes de llevar a cabo un plan de mejora. En primer lugar, queremos trasmitirte nuestro sincero reconocimiento por el ejercicio que has realizado hasta este momento, pues es una muestra clara de tu apertura para escuchar a tu entorno laboral más próximo.</a:t>
          </a:r>
        </a:p>
        <a:p>
          <a:pPr algn="just">
            <a:spcBef>
              <a:spcPts val="0"/>
            </a:spcBef>
            <a:spcAft>
              <a:spcPts val="600"/>
            </a:spcAft>
          </a:pPr>
          <a:r>
            <a:rPr lang="es-ES" sz="1200">
              <a:solidFill>
                <a:srgbClr val="000000"/>
              </a:solidFill>
              <a:effectLst/>
              <a:latin typeface="+mn-lt"/>
              <a:ea typeface="+mn-ea"/>
              <a:cs typeface="+mn-cs"/>
            </a:rPr>
            <a:t>Este informe te permitirá, entre otras cosas, descubrir –si las tuvieras- tus zonas ciegas: comportamientos que uno tiene y que todo el mundo conoce, salvo el propio interesado. Muchos directivos se sorprenden al advertir la imagen que de ellos tienen sus compañeros de trabajo, pues con frecuencia algunas competencias que consideraban como fuertes son percibidas por los demás como débiles (zonas ciegas negativas). Y al contrario, competencias consideradas por el propio interesado como parte de sus puntos débiles, en realidad son valoradas como fortalezas por las personas de su entorno profesional (zonas ciegas positivas). El feedback 360° te ayudará a eliminar esa “ceguera”.</a:t>
          </a:r>
        </a:p>
        <a:p>
          <a:pPr algn="just">
            <a:spcBef>
              <a:spcPts val="0"/>
            </a:spcBef>
            <a:spcAft>
              <a:spcPts val="600"/>
            </a:spcAft>
          </a:pPr>
          <a:r>
            <a:rPr lang="es-ES" sz="1200">
              <a:solidFill>
                <a:srgbClr val="000000"/>
              </a:solidFill>
              <a:effectLst/>
              <a:latin typeface="+mn-lt"/>
              <a:ea typeface="+mn-ea"/>
              <a:cs typeface="+mn-cs"/>
            </a:rPr>
            <a:t>Es probable que la realidad sobre tu nivel de competencias resulte ser una combinación entre ambas percepciones: cómo te conoces a tí mismo (autoevaluación) y cómo te conoce tu entrono (media externa). Esta es una labor que tendrás que realizar tu mismo y, mejor, apoyándote en la opinión de un coach.</a:t>
          </a:r>
        </a:p>
        <a:p>
          <a:pPr algn="just">
            <a:spcBef>
              <a:spcPts val="0"/>
            </a:spcBef>
            <a:spcAft>
              <a:spcPts val="600"/>
            </a:spcAft>
          </a:pPr>
          <a:r>
            <a:rPr lang="es-ES" sz="1200">
              <a:solidFill>
                <a:srgbClr val="000000"/>
              </a:solidFill>
              <a:effectLst/>
              <a:latin typeface="+mn-lt"/>
              <a:ea typeface="+mn-ea"/>
              <a:cs typeface="+mn-cs"/>
            </a:rPr>
            <a:t>Para medir tu nivel de competencias dispones así mismo de una referencia - la media de TopTen- que te servirá para detectar tus puntos fuertes y débiles. No olvides que dicha media es un valor en sí mismo exigente: perfil de un directivo valorado por la plataforma TopTen Management Spain como suficientemente competente. </a:t>
          </a:r>
        </a:p>
        <a:p>
          <a:pPr algn="just">
            <a:spcBef>
              <a:spcPts val="0"/>
            </a:spcBef>
            <a:spcAft>
              <a:spcPts val="600"/>
            </a:spcAft>
          </a:pPr>
          <a:r>
            <a:rPr lang="es-ES" sz="1200">
              <a:solidFill>
                <a:srgbClr val="000000"/>
              </a:solidFill>
              <a:effectLst/>
              <a:latin typeface="+mn-lt"/>
              <a:ea typeface="+mn-ea"/>
              <a:cs typeface="+mn-cs"/>
            </a:rPr>
            <a:t>Para realizar un buen diagnóstico sobre tus puntos fuertes y débiles, ten en cuenta cuatro criterios:</a:t>
          </a:r>
        </a:p>
        <a:p>
          <a:pPr algn="just">
            <a:spcBef>
              <a:spcPts val="0"/>
            </a:spcBef>
            <a:spcAft>
              <a:spcPts val="600"/>
            </a:spcAft>
          </a:pPr>
          <a:r>
            <a:rPr lang="es-ES" sz="1200" b="1">
              <a:solidFill>
                <a:srgbClr val="000000"/>
              </a:solidFill>
              <a:effectLst/>
              <a:latin typeface="+mn-lt"/>
              <a:ea typeface="+mn-ea"/>
              <a:cs typeface="+mn-cs"/>
            </a:rPr>
            <a:t>A. Despersonaliza la información externa</a:t>
          </a:r>
          <a:r>
            <a:rPr lang="es-ES" sz="1200">
              <a:solidFill>
                <a:srgbClr val="000000"/>
              </a:solidFill>
              <a:effectLst/>
              <a:latin typeface="+mn-lt"/>
              <a:ea typeface="+mn-ea"/>
              <a:cs typeface="+mn-cs"/>
            </a:rPr>
            <a:t>: hay que olvidarse de las personas concretas que te han valorado y, sin embargo, céntrese en el mensaje que te hacen llegar. ¿Por qué me están diciendo esto? ¿Qué puedo sacar de ello?</a:t>
          </a:r>
        </a:p>
        <a:p>
          <a:pPr algn="just">
            <a:spcBef>
              <a:spcPts val="0"/>
            </a:spcBef>
            <a:spcAft>
              <a:spcPts val="600"/>
            </a:spcAft>
          </a:pPr>
          <a:r>
            <a:rPr lang="es-ES" sz="1200" b="1">
              <a:solidFill>
                <a:srgbClr val="000000"/>
              </a:solidFill>
              <a:effectLst/>
              <a:latin typeface="+mn-lt"/>
              <a:ea typeface="+mn-ea"/>
              <a:cs typeface="+mn-cs"/>
            </a:rPr>
            <a:t>B. </a:t>
          </a:r>
          <a:r>
            <a:rPr lang="es-ES" sz="1200" b="1">
              <a:solidFill>
                <a:sysClr val="windowText" lastClr="000000"/>
              </a:solidFill>
              <a:effectLst/>
              <a:latin typeface="+mn-lt"/>
              <a:ea typeface="+mn-ea"/>
              <a:cs typeface="+mn-cs"/>
            </a:rPr>
            <a:t>Quédate con lo </a:t>
          </a:r>
          <a:r>
            <a:rPr lang="es-ES" sz="1200" b="1">
              <a:solidFill>
                <a:srgbClr val="000000"/>
              </a:solidFill>
              <a:effectLst/>
              <a:latin typeface="+mn-lt"/>
              <a:ea typeface="+mn-ea"/>
              <a:cs typeface="+mn-cs"/>
            </a:rPr>
            <a:t>relevante</a:t>
          </a:r>
          <a:r>
            <a:rPr lang="es-ES" sz="1200">
              <a:solidFill>
                <a:srgbClr val="000000"/>
              </a:solidFill>
              <a:effectLst/>
              <a:latin typeface="+mn-lt"/>
              <a:ea typeface="+mn-ea"/>
              <a:cs typeface="+mn-cs"/>
            </a:rPr>
            <a:t>: la información que dispones con este informe es muy abundante. Sin embargo, para que te sirva, tendrás que hacer una labor de síntesis y resumirlo en dos o tres mensajes principales.</a:t>
          </a:r>
        </a:p>
        <a:p>
          <a:pPr algn="just">
            <a:spcBef>
              <a:spcPts val="0"/>
            </a:spcBef>
            <a:spcAft>
              <a:spcPts val="600"/>
            </a:spcAft>
          </a:pPr>
          <a:r>
            <a:rPr lang="es-ES" sz="1200" b="1">
              <a:solidFill>
                <a:srgbClr val="000000"/>
              </a:solidFill>
              <a:effectLst/>
              <a:latin typeface="+mn-lt"/>
              <a:ea typeface="+mn-ea"/>
              <a:cs typeface="+mn-cs"/>
            </a:rPr>
            <a:t>C. Procura chequearlo con alguien</a:t>
          </a:r>
          <a:r>
            <a:rPr lang="es-ES" sz="1200">
              <a:solidFill>
                <a:srgbClr val="000000"/>
              </a:solidFill>
              <a:effectLst/>
              <a:latin typeface="+mn-lt"/>
              <a:ea typeface="+mn-ea"/>
              <a:cs typeface="+mn-cs"/>
            </a:rPr>
            <a:t>: siempre conviene acudir a otra persona que nos ayude a realizar un balance final. Si además se trata de un experto en la interpretación de este tipo de informes, mejor.</a:t>
          </a:r>
        </a:p>
        <a:p>
          <a:pPr algn="just">
            <a:spcBef>
              <a:spcPts val="0"/>
            </a:spcBef>
            <a:spcAft>
              <a:spcPts val="600"/>
            </a:spcAft>
          </a:pPr>
          <a:r>
            <a:rPr lang="es-ES" sz="1200" b="1">
              <a:solidFill>
                <a:srgbClr val="000000"/>
              </a:solidFill>
              <a:effectLst/>
              <a:latin typeface="+mn-lt"/>
              <a:ea typeface="+mn-ea"/>
              <a:cs typeface="+mn-cs"/>
            </a:rPr>
            <a:t>D. Realiza un plan de mejora</a:t>
          </a:r>
          <a:r>
            <a:rPr lang="es-ES" sz="1200">
              <a:solidFill>
                <a:srgbClr val="000000"/>
              </a:solidFill>
              <a:effectLst/>
              <a:latin typeface="+mn-lt"/>
              <a:ea typeface="+mn-ea"/>
              <a:cs typeface="+mn-cs"/>
            </a:rPr>
            <a:t>: no olvides que todo este ejercicio está orientado a facilitarte la mejora continua. La consecuencia lógica que se plantea después de realizar un ejercicio de este estilo, será iniciar una fase de entrenamiento (coaching directivo) que te permita desarrollar tu máximo potencial. </a:t>
          </a:r>
        </a:p>
        <a:p>
          <a:pPr algn="just">
            <a:spcBef>
              <a:spcPts val="0"/>
            </a:spcBef>
            <a:spcAft>
              <a:spcPts val="600"/>
            </a:spcAft>
          </a:pPr>
          <a:endParaRPr lang="es-ES" sz="1200"/>
        </a:p>
      </xdr:txBody>
    </xdr:sp>
    <xdr:clientData/>
  </xdr:twoCellAnchor>
  <xdr:oneCellAnchor>
    <xdr:from>
      <xdr:col>1</xdr:col>
      <xdr:colOff>4219575</xdr:colOff>
      <xdr:row>19</xdr:row>
      <xdr:rowOff>28575</xdr:rowOff>
    </xdr:from>
    <xdr:ext cx="184731" cy="264560"/>
    <xdr:sp macro="" textlink="">
      <xdr:nvSpPr>
        <xdr:cNvPr id="3" name="CuadroTexto 2">
          <a:extLst>
            <a:ext uri="{FF2B5EF4-FFF2-40B4-BE49-F238E27FC236}">
              <a16:creationId xmlns:a16="http://schemas.microsoft.com/office/drawing/2014/main" id="{00000000-0008-0000-0200-000003000000}"/>
            </a:ext>
          </a:extLst>
        </xdr:cNvPr>
        <xdr:cNvSpPr txBox="1"/>
      </xdr:nvSpPr>
      <xdr:spPr>
        <a:xfrm>
          <a:off x="4981575" y="3457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ES" sz="1100"/>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69940</xdr:colOff>
      <xdr:row>3</xdr:row>
      <xdr:rowOff>17748</xdr:rowOff>
    </xdr:from>
    <xdr:to>
      <xdr:col>7</xdr:col>
      <xdr:colOff>539751</xdr:colOff>
      <xdr:row>48</xdr:row>
      <xdr:rowOff>47625</xdr:rowOff>
    </xdr:to>
    <xdr:sp macro="" textlink="">
      <xdr:nvSpPr>
        <xdr:cNvPr id="2" name="CuadroTexto 1">
          <a:extLst>
            <a:ext uri="{FF2B5EF4-FFF2-40B4-BE49-F238E27FC236}">
              <a16:creationId xmlns:a16="http://schemas.microsoft.com/office/drawing/2014/main" id="{00000000-0008-0000-0300-000002000000}"/>
            </a:ext>
          </a:extLst>
        </xdr:cNvPr>
        <xdr:cNvSpPr txBox="1"/>
      </xdr:nvSpPr>
      <xdr:spPr>
        <a:xfrm>
          <a:off x="69940" y="636873"/>
          <a:ext cx="5248186" cy="86023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latin typeface="Helvetica" pitchFamily="2" charset="0"/>
            </a:rPr>
            <a:t>· </a:t>
          </a:r>
          <a:r>
            <a:rPr lang="es-ES" sz="1400" b="1">
              <a:latin typeface="+mn-lt"/>
            </a:rPr>
            <a:t>Competencias de negocio</a:t>
          </a:r>
        </a:p>
        <a:p>
          <a:endParaRPr lang="es-ES" sz="600" b="1">
            <a:latin typeface="+mn-lt"/>
          </a:endParaRPr>
        </a:p>
        <a:p>
          <a:pPr lvl="1"/>
          <a:r>
            <a:rPr lang="es-ES" sz="1200" b="1">
              <a:latin typeface="+mn-lt"/>
            </a:rPr>
            <a:t>Dirección Estratégica de Negocio</a:t>
          </a:r>
        </a:p>
        <a:p>
          <a:pPr lvl="1"/>
          <a:r>
            <a:rPr lang="es-ES" sz="1100">
              <a:latin typeface="+mn-lt"/>
            </a:rPr>
            <a:t>Capacidad para</a:t>
          </a:r>
          <a:r>
            <a:rPr lang="es-ES" sz="1100" i="1">
              <a:latin typeface="+mn-lt"/>
            </a:rPr>
            <a:t> </a:t>
          </a:r>
          <a:r>
            <a:rPr lang="es-ES" sz="1100">
              <a:latin typeface="+mn-lt"/>
            </a:rPr>
            <a:t>conocer los puntos débiles y fuertes de la empresa, anticiparse a las tendencias de mercado y generar nuevas líneas de negocio.</a:t>
          </a:r>
        </a:p>
        <a:p>
          <a:pPr lvl="1"/>
          <a:endParaRPr lang="es-ES" sz="400">
            <a:latin typeface="+mn-lt"/>
          </a:endParaRPr>
        </a:p>
        <a:p>
          <a:pPr lvl="1"/>
          <a:r>
            <a:rPr lang="es-ES" sz="1200" b="1">
              <a:latin typeface="+mn-lt"/>
            </a:rPr>
            <a:t>Orientación al Cliente</a:t>
          </a:r>
        </a:p>
        <a:p>
          <a:pPr lvl="1"/>
          <a:r>
            <a:rPr lang="es-ES" sz="1100">
              <a:latin typeface="+mn-lt"/>
            </a:rPr>
            <a:t>Capacidad para atender adecuadamente las necesidades del cliente, creando y consolidando una relación de valor entre ambas partes.</a:t>
          </a:r>
        </a:p>
        <a:p>
          <a:pPr lvl="1"/>
          <a:endParaRPr lang="es-ES" sz="400">
            <a:latin typeface="+mn-lt"/>
          </a:endParaRPr>
        </a:p>
        <a:p>
          <a:pPr lvl="1"/>
          <a:r>
            <a:rPr lang="es-ES" sz="1200" b="1">
              <a:latin typeface="+mn-lt"/>
            </a:rPr>
            <a:t>Red de Contactos (Networking)</a:t>
          </a:r>
        </a:p>
        <a:p>
          <a:pPr lvl="1"/>
          <a:r>
            <a:rPr lang="es-ES" sz="1100">
              <a:latin typeface="+mn-lt"/>
            </a:rPr>
            <a:t>Capacidad para crear, desarrollar y fortalecer una red de contactos con personas que pueden ser clave para el buen funcionamiento de la empresa.</a:t>
          </a:r>
        </a:p>
        <a:p>
          <a:pPr lvl="1"/>
          <a:endParaRPr lang="es-ES" sz="400">
            <a:latin typeface="+mn-lt"/>
          </a:endParaRPr>
        </a:p>
        <a:p>
          <a:pPr lvl="1"/>
          <a:r>
            <a:rPr lang="es-ES" sz="1200" b="1">
              <a:latin typeface="+mn-lt"/>
            </a:rPr>
            <a:t>Negociación</a:t>
          </a:r>
        </a:p>
        <a:p>
          <a:pPr lvl="1"/>
          <a:r>
            <a:rPr lang="es-ES" sz="1100">
              <a:latin typeface="+mn-lt"/>
            </a:rPr>
            <a:t>Capacidad para llegar a acuerdos satisfactorios para todas las partes implicadas en el proceso, generando el mayor valor añadido posible.</a:t>
          </a:r>
        </a:p>
        <a:p>
          <a:pPr lvl="1"/>
          <a:endParaRPr lang="es-ES" sz="1100">
            <a:latin typeface="+mn-lt"/>
          </a:endParaRPr>
        </a:p>
        <a:p>
          <a:pPr lvl="0"/>
          <a:r>
            <a:rPr lang="es-ES" sz="1400" b="1">
              <a:latin typeface="+mn-lt"/>
            </a:rPr>
            <a:t>· Competencias para las relaciones interpersonales</a:t>
          </a:r>
        </a:p>
        <a:p>
          <a:pPr lvl="0"/>
          <a:endParaRPr lang="es-ES" sz="800" b="1">
            <a:latin typeface="+mn-lt"/>
          </a:endParaRPr>
        </a:p>
        <a:p>
          <a:pPr lvl="1"/>
          <a:r>
            <a:rPr lang="es-ES" sz="1200" b="1">
              <a:latin typeface="+mn-lt"/>
            </a:rPr>
            <a:t>Comunicación</a:t>
          </a:r>
        </a:p>
        <a:p>
          <a:pPr lvl="1"/>
          <a:r>
            <a:rPr lang="es-ES" sz="1100">
              <a:latin typeface="+mn-lt"/>
            </a:rPr>
            <a:t>Capacidad para escuchar, establecer el modo y el momento oportuno para trasmitir una idea de manera efectiva.</a:t>
          </a:r>
        </a:p>
        <a:p>
          <a:pPr lvl="1"/>
          <a:endParaRPr lang="es-ES" sz="400">
            <a:latin typeface="+mn-lt"/>
          </a:endParaRPr>
        </a:p>
        <a:p>
          <a:pPr lvl="1"/>
          <a:r>
            <a:rPr lang="es-ES" sz="1200" b="1">
              <a:latin typeface="+mn-lt"/>
            </a:rPr>
            <a:t>Delegación</a:t>
          </a:r>
        </a:p>
        <a:p>
          <a:pPr lvl="1"/>
          <a:r>
            <a:rPr lang="es-ES" sz="1100">
              <a:latin typeface="+mn-lt"/>
            </a:rPr>
            <a:t>Capacidad para trasferir a mis colaboradores el espacio y los recursos necesarios para la toma de decisiones y el logro de sus objetivos.</a:t>
          </a:r>
        </a:p>
        <a:p>
          <a:pPr lvl="1"/>
          <a:endParaRPr lang="es-ES" sz="400">
            <a:latin typeface="+mn-lt"/>
          </a:endParaRPr>
        </a:p>
        <a:p>
          <a:pPr lvl="1"/>
          <a:r>
            <a:rPr lang="es-ES" sz="1200" b="1">
              <a:latin typeface="+mn-lt"/>
            </a:rPr>
            <a:t>Dirección de Equipos</a:t>
          </a:r>
        </a:p>
        <a:p>
          <a:pPr lvl="1"/>
          <a:r>
            <a:rPr lang="es-ES" sz="1100">
              <a:latin typeface="+mn-lt"/>
            </a:rPr>
            <a:t>Capacidad para generar y fomentar un ambiente de misión, cohesión y colaboración entre todos los miembros del equipo para la consecución de objetivos.</a:t>
          </a:r>
        </a:p>
        <a:p>
          <a:pPr lvl="1"/>
          <a:endParaRPr lang="es-ES" sz="400">
            <a:latin typeface="+mn-lt"/>
          </a:endParaRPr>
        </a:p>
        <a:p>
          <a:pPr lvl="1"/>
          <a:r>
            <a:rPr lang="es-ES" sz="1200" b="1">
              <a:solidFill>
                <a:sysClr val="windowText" lastClr="000000"/>
              </a:solidFill>
              <a:latin typeface="+mn-lt"/>
            </a:rPr>
            <a:t>Gestión</a:t>
          </a:r>
          <a:r>
            <a:rPr lang="es-ES" sz="1200" b="1" baseline="0">
              <a:solidFill>
                <a:sysClr val="windowText" lastClr="000000"/>
              </a:solidFill>
              <a:latin typeface="+mn-lt"/>
            </a:rPr>
            <a:t> del talento</a:t>
          </a:r>
          <a:endParaRPr lang="es-ES" sz="1200" b="1">
            <a:solidFill>
              <a:sysClr val="windowText" lastClr="000000"/>
            </a:solidFill>
            <a:latin typeface="+mn-lt"/>
          </a:endParaRPr>
        </a:p>
        <a:p>
          <a:pPr lvl="1"/>
          <a:r>
            <a:rPr lang="es-ES" sz="1100">
              <a:latin typeface="+mn-lt"/>
            </a:rPr>
            <a:t>Capacidad para desarrollar el máximo potencial posible de mis colaboradores.</a:t>
          </a:r>
        </a:p>
        <a:p>
          <a:pPr lvl="1"/>
          <a:endParaRPr lang="es-ES" sz="1100">
            <a:latin typeface="+mn-lt"/>
          </a:endParaRPr>
        </a:p>
        <a:p>
          <a:r>
            <a:rPr lang="es-ES" sz="1400" b="1" i="0" u="none" strike="noStrike" baseline="0">
              <a:solidFill>
                <a:schemeClr val="dk1"/>
              </a:solidFill>
              <a:latin typeface="+mn-lt"/>
              <a:ea typeface="+mn-ea"/>
              <a:cs typeface="+mn-cs"/>
            </a:rPr>
            <a:t>· Competencias personales</a:t>
          </a:r>
        </a:p>
        <a:p>
          <a:endParaRPr lang="es-ES" sz="800" b="1"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Análisis de Problemas y Toma de Decisiones</a:t>
          </a:r>
        </a:p>
        <a:p>
          <a:pPr lvl="1"/>
          <a:r>
            <a:rPr lang="es-ES" sz="1100" b="0" i="0" u="none" strike="noStrike" baseline="0">
              <a:solidFill>
                <a:schemeClr val="dk1"/>
              </a:solidFill>
              <a:latin typeface="+mn-lt"/>
              <a:ea typeface="+mn-ea"/>
              <a:cs typeface="+mn-cs"/>
            </a:rPr>
            <a:t>Capacidad para identificar de manera efectiva la información relevante,</a:t>
          </a:r>
        </a:p>
        <a:p>
          <a:pPr lvl="1"/>
          <a:r>
            <a:rPr lang="es-ES" sz="1100" b="0" i="0" u="none" strike="noStrike" baseline="0">
              <a:solidFill>
                <a:schemeClr val="dk1"/>
              </a:solidFill>
              <a:latin typeface="+mn-lt"/>
              <a:ea typeface="+mn-ea"/>
              <a:cs typeface="+mn-cs"/>
            </a:rPr>
            <a:t>generar distintas soluciones y ejecutar la línea de trabajo más conveniente</a:t>
          </a:r>
        </a:p>
        <a:p>
          <a:pPr lvl="1"/>
          <a:r>
            <a:rPr lang="es-ES" sz="1100" b="0" i="0" u="none" strike="noStrike" baseline="0">
              <a:solidFill>
                <a:schemeClr val="dk1"/>
              </a:solidFill>
              <a:latin typeface="+mn-lt"/>
              <a:ea typeface="+mn-ea"/>
              <a:cs typeface="+mn-cs"/>
            </a:rPr>
            <a:t>para cada situación.</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Tiempo</a:t>
          </a:r>
        </a:p>
        <a:p>
          <a:pPr lvl="1"/>
          <a:r>
            <a:rPr lang="es-ES" sz="1100" b="0" i="0" u="none" strike="noStrike" baseline="0">
              <a:solidFill>
                <a:schemeClr val="dk1"/>
              </a:solidFill>
              <a:latin typeface="+mn-lt"/>
              <a:ea typeface="+mn-ea"/>
              <a:cs typeface="+mn-cs"/>
            </a:rPr>
            <a:t>Capacidad para priorizar las tareas, programar las actividades de manera</a:t>
          </a:r>
        </a:p>
        <a:p>
          <a:pPr lvl="1"/>
          <a:r>
            <a:rPr lang="es-ES" sz="1100" b="0" i="0" u="none" strike="noStrike" baseline="0">
              <a:solidFill>
                <a:schemeClr val="dk1"/>
              </a:solidFill>
              <a:latin typeface="+mn-lt"/>
              <a:ea typeface="+mn-ea"/>
              <a:cs typeface="+mn-cs"/>
            </a:rPr>
            <a:t>adecuada y ejecutarlas en el plazo previsto.</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Gestión del Cambio y del Aprendizaje</a:t>
          </a:r>
        </a:p>
        <a:p>
          <a:pPr lvl="1"/>
          <a:r>
            <a:rPr lang="es-ES" sz="1100" b="0" i="0" u="none" strike="noStrike" baseline="0">
              <a:solidFill>
                <a:schemeClr val="dk1"/>
              </a:solidFill>
              <a:latin typeface="+mn-lt"/>
              <a:ea typeface="+mn-ea"/>
              <a:cs typeface="+mn-cs"/>
            </a:rPr>
            <a:t>Capacidad para estar abierto al cambio y asimilar nuevos conocimientos y</a:t>
          </a:r>
        </a:p>
        <a:p>
          <a:pPr lvl="1"/>
          <a:r>
            <a:rPr lang="es-ES" sz="1100" b="0" i="0" u="none" strike="noStrike" baseline="0">
              <a:solidFill>
                <a:schemeClr val="dk1"/>
              </a:solidFill>
              <a:latin typeface="+mn-lt"/>
              <a:ea typeface="+mn-ea"/>
              <a:cs typeface="+mn-cs"/>
            </a:rPr>
            <a:t>comportamientos.</a:t>
          </a:r>
        </a:p>
        <a:p>
          <a:pPr lvl="1"/>
          <a:endParaRPr lang="es-ES" sz="400" b="0" i="0" u="none" strike="noStrike" baseline="0">
            <a:solidFill>
              <a:schemeClr val="dk1"/>
            </a:solidFill>
            <a:latin typeface="+mn-lt"/>
            <a:ea typeface="+mn-ea"/>
            <a:cs typeface="+mn-cs"/>
          </a:endParaRPr>
        </a:p>
        <a:p>
          <a:pPr lvl="1"/>
          <a:r>
            <a:rPr lang="es-ES" sz="1200" b="1" i="0" u="none" strike="noStrike" baseline="0">
              <a:solidFill>
                <a:schemeClr val="dk1"/>
              </a:solidFill>
              <a:latin typeface="+mn-lt"/>
              <a:ea typeface="+mn-ea"/>
              <a:cs typeface="+mn-cs"/>
            </a:rPr>
            <a:t>Autocontrol y equilibrio</a:t>
          </a:r>
        </a:p>
        <a:p>
          <a:pPr lvl="1"/>
          <a:r>
            <a:rPr lang="es-ES" sz="1100" b="0" i="0" u="none" strike="noStrike" baseline="0">
              <a:solidFill>
                <a:schemeClr val="dk1"/>
              </a:solidFill>
              <a:latin typeface="+mn-lt"/>
              <a:ea typeface="+mn-ea"/>
              <a:cs typeface="+mn-cs"/>
            </a:rPr>
            <a:t>Capacidad para reaccionar con el estado de ánimo apropiado y comportándose</a:t>
          </a:r>
        </a:p>
        <a:p>
          <a:pPr lvl="1"/>
          <a:r>
            <a:rPr lang="es-ES" sz="1100" b="0" i="0" u="none" strike="noStrike" baseline="0">
              <a:solidFill>
                <a:schemeClr val="dk1"/>
              </a:solidFill>
              <a:latin typeface="+mn-lt"/>
              <a:ea typeface="+mn-ea"/>
              <a:cs typeface="+mn-cs"/>
            </a:rPr>
            <a:t>de manera ecuánime ante cualquier situación.</a:t>
          </a:r>
          <a:endParaRPr lang="es-ES" sz="1400">
            <a:latin typeface="+mn-lt"/>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9524</xdr:colOff>
      <xdr:row>2</xdr:row>
      <xdr:rowOff>84604</xdr:rowOff>
    </xdr:from>
    <xdr:to>
      <xdr:col>9</xdr:col>
      <xdr:colOff>647699</xdr:colOff>
      <xdr:row>8</xdr:row>
      <xdr:rowOff>38100</xdr:rowOff>
    </xdr:to>
    <xdr:sp macro="" textlink="">
      <xdr:nvSpPr>
        <xdr:cNvPr id="2" name="CuadroTexto 1">
          <a:extLst>
            <a:ext uri="{FF2B5EF4-FFF2-40B4-BE49-F238E27FC236}">
              <a16:creationId xmlns:a16="http://schemas.microsoft.com/office/drawing/2014/main" id="{00000000-0008-0000-0400-000002000000}"/>
            </a:ext>
          </a:extLst>
        </xdr:cNvPr>
        <xdr:cNvSpPr txBox="1"/>
      </xdr:nvSpPr>
      <xdr:spPr>
        <a:xfrm>
          <a:off x="228599" y="503704"/>
          <a:ext cx="4752975" cy="109649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i="0" u="none" strike="noStrike" baseline="0">
              <a:solidFill>
                <a:schemeClr val="dk1"/>
              </a:solidFill>
              <a:latin typeface="+mn-lt"/>
              <a:ea typeface="Helvetica Neue" panose="02000503000000020004" pitchFamily="2" charset="0"/>
              <a:cs typeface="Helvetica Neue" panose="02000503000000020004" pitchFamily="2" charset="0"/>
            </a:rPr>
            <a:t>· Competencias de negocio</a:t>
          </a:r>
        </a:p>
        <a:p>
          <a:endParaRPr lang="es-ES" sz="3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Estratégica de Negocio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conocer los puntos débiles y fuertes de la empresa, anticiparse a las tendencias de mercado y generar nuevas líneas de negocio.</a:t>
          </a:r>
          <a:endParaRPr lang="es-ES" sz="11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10</xdr:row>
      <xdr:rowOff>33894</xdr:rowOff>
    </xdr:from>
    <xdr:to>
      <xdr:col>9</xdr:col>
      <xdr:colOff>354330</xdr:colOff>
      <xdr:row>15</xdr:row>
      <xdr:rowOff>39519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17</xdr:row>
      <xdr:rowOff>28576</xdr:rowOff>
    </xdr:from>
    <xdr:to>
      <xdr:col>9</xdr:col>
      <xdr:colOff>628651</xdr:colOff>
      <xdr:row>21</xdr:row>
      <xdr:rowOff>76200</xdr:rowOff>
    </xdr:to>
    <xdr:sp macro="" textlink="">
      <xdr:nvSpPr>
        <xdr:cNvPr id="6" name="CuadroTexto 5">
          <a:extLst>
            <a:ext uri="{FF2B5EF4-FFF2-40B4-BE49-F238E27FC236}">
              <a16:creationId xmlns:a16="http://schemas.microsoft.com/office/drawing/2014/main" id="{00000000-0008-0000-0400-000006000000}"/>
            </a:ext>
          </a:extLst>
        </xdr:cNvPr>
        <xdr:cNvSpPr txBox="1"/>
      </xdr:nvSpPr>
      <xdr:spPr>
        <a:xfrm>
          <a:off x="228600" y="3086101"/>
          <a:ext cx="4733926" cy="8096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Orientación al Cliente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atender adecuadamente las necesidades del cliente, creando y consolidando una relación de valor entre ambas partes.</a:t>
          </a:r>
          <a:endParaRPr lang="es-ES" sz="1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23</xdr:row>
      <xdr:rowOff>102250</xdr:rowOff>
    </xdr:from>
    <xdr:to>
      <xdr:col>9</xdr:col>
      <xdr:colOff>384810</xdr:colOff>
      <xdr:row>28</xdr:row>
      <xdr:rowOff>107875</xdr:rowOff>
    </xdr:to>
    <xdr:graphicFrame macro="">
      <xdr:nvGraphicFramePr>
        <xdr:cNvPr id="7" name="Gráfico 6">
          <a:extLst>
            <a:ext uri="{FF2B5EF4-FFF2-40B4-BE49-F238E27FC236}">
              <a16:creationId xmlns:a16="http://schemas.microsoft.com/office/drawing/2014/main" id="{00000000-0008-0000-0400-00000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16</xdr:row>
      <xdr:rowOff>47625</xdr:rowOff>
    </xdr:from>
    <xdr:to>
      <xdr:col>8</xdr:col>
      <xdr:colOff>539115</xdr:colOff>
      <xdr:row>16</xdr:row>
      <xdr:rowOff>76201</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flipV="1">
          <a:off x="219075" y="2914650"/>
          <a:ext cx="4110990" cy="2857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29</xdr:row>
      <xdr:rowOff>142875</xdr:rowOff>
    </xdr:from>
    <xdr:to>
      <xdr:col>8</xdr:col>
      <xdr:colOff>539115</xdr:colOff>
      <xdr:row>29</xdr:row>
      <xdr:rowOff>142875</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219075" y="5200650"/>
          <a:ext cx="411099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30</xdr:row>
      <xdr:rowOff>28576</xdr:rowOff>
    </xdr:from>
    <xdr:to>
      <xdr:col>9</xdr:col>
      <xdr:colOff>638175</xdr:colOff>
      <xdr:row>33</xdr:row>
      <xdr:rowOff>168088</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219075" y="5276851"/>
          <a:ext cx="4752975" cy="71101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Red de Contactos (Networking)</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crear, desarrollar y fortalecer una red de contactos con personas que permitan el buen funcionamiento de la empresa.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36</xdr:row>
      <xdr:rowOff>73675</xdr:rowOff>
    </xdr:from>
    <xdr:to>
      <xdr:col>9</xdr:col>
      <xdr:colOff>400050</xdr:colOff>
      <xdr:row>41</xdr:row>
      <xdr:rowOff>79300</xdr:rowOff>
    </xdr:to>
    <xdr:graphicFrame macro="">
      <xdr:nvGraphicFramePr>
        <xdr:cNvPr id="12" name="Gráfico 11">
          <a:extLst>
            <a:ext uri="{FF2B5EF4-FFF2-40B4-BE49-F238E27FC236}">
              <a16:creationId xmlns:a16="http://schemas.microsoft.com/office/drawing/2014/main" id="{00000000-0008-0000-0400-00000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30480</xdr:rowOff>
    </xdr:from>
    <xdr:to>
      <xdr:col>8</xdr:col>
      <xdr:colOff>815340</xdr:colOff>
      <xdr:row>42</xdr:row>
      <xdr:rowOff>38100</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flipV="1">
          <a:off x="228600" y="6934200"/>
          <a:ext cx="510540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0</xdr:colOff>
      <xdr:row>42</xdr:row>
      <xdr:rowOff>179970</xdr:rowOff>
    </xdr:from>
    <xdr:to>
      <xdr:col>9</xdr:col>
      <xdr:colOff>685800</xdr:colOff>
      <xdr:row>46</xdr:row>
      <xdr:rowOff>144780</xdr:rowOff>
    </xdr:to>
    <xdr:sp macro="" textlink="">
      <xdr:nvSpPr>
        <xdr:cNvPr id="14" name="CuadroTexto 13">
          <a:extLst>
            <a:ext uri="{FF2B5EF4-FFF2-40B4-BE49-F238E27FC236}">
              <a16:creationId xmlns:a16="http://schemas.microsoft.com/office/drawing/2014/main" id="{00000000-0008-0000-0400-00000E000000}"/>
            </a:ext>
          </a:extLst>
        </xdr:cNvPr>
        <xdr:cNvSpPr txBox="1"/>
      </xdr:nvSpPr>
      <xdr:spPr>
        <a:xfrm>
          <a:off x="219075" y="7428495"/>
          <a:ext cx="4800600" cy="72681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Negociación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llegar a acuerdos satisfactorios para todas las partes implicadas en el proceso, generando el mayor valor añadido posible.</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174313</xdr:colOff>
      <xdr:row>49</xdr:row>
      <xdr:rowOff>98440</xdr:rowOff>
    </xdr:from>
    <xdr:to>
      <xdr:col>9</xdr:col>
      <xdr:colOff>398145</xdr:colOff>
      <xdr:row>54</xdr:row>
      <xdr:rowOff>56440</xdr:rowOff>
    </xdr:to>
    <xdr:graphicFrame macro="">
      <xdr:nvGraphicFramePr>
        <xdr:cNvPr id="15" name="Gráfico 14">
          <a:extLst>
            <a:ext uri="{FF2B5EF4-FFF2-40B4-BE49-F238E27FC236}">
              <a16:creationId xmlns:a16="http://schemas.microsoft.com/office/drawing/2014/main" id="{00000000-0008-0000-0400-00000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205740</xdr:colOff>
      <xdr:row>54</xdr:row>
      <xdr:rowOff>123825</xdr:rowOff>
    </xdr:from>
    <xdr:to>
      <xdr:col>9</xdr:col>
      <xdr:colOff>1905</xdr:colOff>
      <xdr:row>54</xdr:row>
      <xdr:rowOff>131445</xdr:rowOff>
    </xdr:to>
    <xdr:cxnSp macro="">
      <xdr:nvCxnSpPr>
        <xdr:cNvPr id="16" name="Conector recto 15">
          <a:extLst>
            <a:ext uri="{FF2B5EF4-FFF2-40B4-BE49-F238E27FC236}">
              <a16:creationId xmlns:a16="http://schemas.microsoft.com/office/drawing/2014/main" id="{00000000-0008-0000-0400-000010000000}"/>
            </a:ext>
          </a:extLst>
        </xdr:cNvPr>
        <xdr:cNvCxnSpPr/>
      </xdr:nvCxnSpPr>
      <xdr:spPr>
        <a:xfrm flipV="1">
          <a:off x="205740" y="9477375"/>
          <a:ext cx="413004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56</xdr:row>
      <xdr:rowOff>28576</xdr:rowOff>
    </xdr:from>
    <xdr:to>
      <xdr:col>9</xdr:col>
      <xdr:colOff>647700</xdr:colOff>
      <xdr:row>62</xdr:row>
      <xdr:rowOff>0</xdr:rowOff>
    </xdr:to>
    <xdr:sp macro="" textlink="">
      <xdr:nvSpPr>
        <xdr:cNvPr id="17" name="CuadroTexto 16">
          <a:extLst>
            <a:ext uri="{FF2B5EF4-FFF2-40B4-BE49-F238E27FC236}">
              <a16:creationId xmlns:a16="http://schemas.microsoft.com/office/drawing/2014/main" id="{00000000-0008-0000-0400-000011000000}"/>
            </a:ext>
          </a:extLst>
        </xdr:cNvPr>
        <xdr:cNvSpPr txBox="1"/>
      </xdr:nvSpPr>
      <xdr:spPr>
        <a:xfrm>
          <a:off x="228600" y="9705976"/>
          <a:ext cx="4752975" cy="111442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para las relaciones interpersonales</a:t>
          </a:r>
          <a:endParaRPr lang="es-ES" sz="1400" b="1" i="0" u="none" strike="noStrike" baseline="0">
            <a:solidFill>
              <a:schemeClr val="dk1"/>
            </a:solidFill>
            <a:latin typeface="+mn-lt"/>
            <a:ea typeface="Helvetica Neue" panose="02000503000000020004" pitchFamily="2" charset="0"/>
            <a:cs typeface="Helvetica Neue" panose="02000503000000020004" pitchFamily="2" charset="0"/>
          </a:endParaRPr>
        </a:p>
        <a:p>
          <a:pPr lvl="1"/>
          <a:endParaRPr lang="es-ES" sz="1200" b="1" i="0" u="none" strike="noStrike" baseline="0">
            <a:solidFill>
              <a:schemeClr val="dk1"/>
            </a:solidFill>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Comunicación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escuchar, establecer el modo y el momento oportuno para trasmitir una idea de manera efectiva.</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64</xdr:row>
      <xdr:rowOff>83200</xdr:rowOff>
    </xdr:from>
    <xdr:to>
      <xdr:col>9</xdr:col>
      <xdr:colOff>384810</xdr:colOff>
      <xdr:row>69</xdr:row>
      <xdr:rowOff>88825</xdr:rowOff>
    </xdr:to>
    <xdr:graphicFrame macro="">
      <xdr:nvGraphicFramePr>
        <xdr:cNvPr id="18" name="Gráfico 17">
          <a:extLst>
            <a:ext uri="{FF2B5EF4-FFF2-40B4-BE49-F238E27FC236}">
              <a16:creationId xmlns:a16="http://schemas.microsoft.com/office/drawing/2014/main" id="{00000000-0008-0000-0400-00001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28575</xdr:colOff>
      <xdr:row>70</xdr:row>
      <xdr:rowOff>15240</xdr:rowOff>
    </xdr:from>
    <xdr:to>
      <xdr:col>8</xdr:col>
      <xdr:colOff>815340</xdr:colOff>
      <xdr:row>70</xdr:row>
      <xdr:rowOff>28575</xdr:rowOff>
    </xdr:to>
    <xdr:cxnSp macro="">
      <xdr:nvCxnSpPr>
        <xdr:cNvPr id="19" name="Conector recto 18">
          <a:extLst>
            <a:ext uri="{FF2B5EF4-FFF2-40B4-BE49-F238E27FC236}">
              <a16:creationId xmlns:a16="http://schemas.microsoft.com/office/drawing/2014/main" id="{00000000-0008-0000-0400-000013000000}"/>
            </a:ext>
          </a:extLst>
        </xdr:cNvPr>
        <xdr:cNvCxnSpPr/>
      </xdr:nvCxnSpPr>
      <xdr:spPr>
        <a:xfrm flipV="1">
          <a:off x="257175" y="11490960"/>
          <a:ext cx="5076825" cy="1333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71</xdr:row>
      <xdr:rowOff>28576</xdr:rowOff>
    </xdr:from>
    <xdr:to>
      <xdr:col>9</xdr:col>
      <xdr:colOff>647699</xdr:colOff>
      <xdr:row>74</xdr:row>
      <xdr:rowOff>180975</xdr:rowOff>
    </xdr:to>
    <xdr:sp macro="" textlink="">
      <xdr:nvSpPr>
        <xdr:cNvPr id="20" name="CuadroTexto 19">
          <a:extLst>
            <a:ext uri="{FF2B5EF4-FFF2-40B4-BE49-F238E27FC236}">
              <a16:creationId xmlns:a16="http://schemas.microsoft.com/office/drawing/2014/main" id="{00000000-0008-0000-0400-000014000000}"/>
            </a:ext>
          </a:extLst>
        </xdr:cNvPr>
        <xdr:cNvSpPr txBox="1"/>
      </xdr:nvSpPr>
      <xdr:spPr>
        <a:xfrm>
          <a:off x="228599" y="12230101"/>
          <a:ext cx="4752975" cy="7238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Delegación</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trasferir a mis colaboradores el espacio y los recursos necesarios para la toma de decisiones y el logro de sus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77</xdr:row>
      <xdr:rowOff>102250</xdr:rowOff>
    </xdr:from>
    <xdr:to>
      <xdr:col>9</xdr:col>
      <xdr:colOff>384810</xdr:colOff>
      <xdr:row>82</xdr:row>
      <xdr:rowOff>107875</xdr:rowOff>
    </xdr:to>
    <xdr:graphicFrame macro="">
      <xdr:nvGraphicFramePr>
        <xdr:cNvPr id="21" name="Gráfico 20">
          <a:extLst>
            <a:ext uri="{FF2B5EF4-FFF2-40B4-BE49-F238E27FC236}">
              <a16:creationId xmlns:a16="http://schemas.microsoft.com/office/drawing/2014/main" id="{00000000-0008-0000-04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83</xdr:row>
      <xdr:rowOff>59055</xdr:rowOff>
    </xdr:from>
    <xdr:to>
      <xdr:col>8</xdr:col>
      <xdr:colOff>539115</xdr:colOff>
      <xdr:row>83</xdr:row>
      <xdr:rowOff>66675</xdr:rowOff>
    </xdr:to>
    <xdr:cxnSp macro="">
      <xdr:nvCxnSpPr>
        <xdr:cNvPr id="22" name="Conector recto 21">
          <a:extLst>
            <a:ext uri="{FF2B5EF4-FFF2-40B4-BE49-F238E27FC236}">
              <a16:creationId xmlns:a16="http://schemas.microsoft.com/office/drawing/2014/main" id="{00000000-0008-0000-0400-000016000000}"/>
            </a:ext>
          </a:extLst>
        </xdr:cNvPr>
        <xdr:cNvCxnSpPr/>
      </xdr:nvCxnSpPr>
      <xdr:spPr>
        <a:xfrm flipV="1">
          <a:off x="219075" y="14270355"/>
          <a:ext cx="411099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84</xdr:row>
      <xdr:rowOff>0</xdr:rowOff>
    </xdr:from>
    <xdr:to>
      <xdr:col>9</xdr:col>
      <xdr:colOff>647699</xdr:colOff>
      <xdr:row>89</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228599" y="14392275"/>
          <a:ext cx="4752975" cy="952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Dirección de Equipos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generar y fomentar un ambiente de misión, cohesión y</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colaboración entre todos los miembros del equipo para la consecución de objetivos.</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91</xdr:row>
      <xdr:rowOff>111775</xdr:rowOff>
    </xdr:from>
    <xdr:to>
      <xdr:col>9</xdr:col>
      <xdr:colOff>377190</xdr:colOff>
      <xdr:row>96</xdr:row>
      <xdr:rowOff>117400</xdr:rowOff>
    </xdr:to>
    <xdr:graphicFrame macro="">
      <xdr:nvGraphicFramePr>
        <xdr:cNvPr id="24" name="Gráfico 23">
          <a:extLst>
            <a:ext uri="{FF2B5EF4-FFF2-40B4-BE49-F238E27FC236}">
              <a16:creationId xmlns:a16="http://schemas.microsoft.com/office/drawing/2014/main" id="{00000000-0008-0000-0400-00001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97</xdr:row>
      <xdr:rowOff>70485</xdr:rowOff>
    </xdr:from>
    <xdr:to>
      <xdr:col>9</xdr:col>
      <xdr:colOff>1905</xdr:colOff>
      <xdr:row>97</xdr:row>
      <xdr:rowOff>85725</xdr:rowOff>
    </xdr:to>
    <xdr:cxnSp macro="">
      <xdr:nvCxnSpPr>
        <xdr:cNvPr id="25" name="Conector recto 24">
          <a:extLst>
            <a:ext uri="{FF2B5EF4-FFF2-40B4-BE49-F238E27FC236}">
              <a16:creationId xmlns:a16="http://schemas.microsoft.com/office/drawing/2014/main" id="{00000000-0008-0000-0400-000019000000}"/>
            </a:ext>
          </a:extLst>
        </xdr:cNvPr>
        <xdr:cNvCxnSpPr/>
      </xdr:nvCxnSpPr>
      <xdr:spPr>
        <a:xfrm flipV="1">
          <a:off x="219075" y="16663035"/>
          <a:ext cx="4116705" cy="1524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9524</xdr:colOff>
      <xdr:row>98</xdr:row>
      <xdr:rowOff>0</xdr:rowOff>
    </xdr:from>
    <xdr:to>
      <xdr:col>9</xdr:col>
      <xdr:colOff>647699</xdr:colOff>
      <xdr:row>101</xdr:row>
      <xdr:rowOff>0</xdr:rowOff>
    </xdr:to>
    <xdr:sp macro="" textlink="">
      <xdr:nvSpPr>
        <xdr:cNvPr id="26" name="CuadroTexto 25">
          <a:extLst>
            <a:ext uri="{FF2B5EF4-FFF2-40B4-BE49-F238E27FC236}">
              <a16:creationId xmlns:a16="http://schemas.microsoft.com/office/drawing/2014/main" id="{00000000-0008-0000-0400-00001A000000}"/>
            </a:ext>
          </a:extLst>
        </xdr:cNvPr>
        <xdr:cNvSpPr txBox="1"/>
      </xdr:nvSpPr>
      <xdr:spPr>
        <a:xfrm>
          <a:off x="228599" y="16773525"/>
          <a:ext cx="4752975"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Gestión del talento</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desarrollar el máximo potencial posible de mis colaboradores.</a:t>
          </a:r>
          <a:endParaRPr lang="es-ES" sz="1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103</xdr:row>
      <xdr:rowOff>111775</xdr:rowOff>
    </xdr:from>
    <xdr:to>
      <xdr:col>9</xdr:col>
      <xdr:colOff>400050</xdr:colOff>
      <xdr:row>108</xdr:row>
      <xdr:rowOff>117400</xdr:rowOff>
    </xdr:to>
    <xdr:graphicFrame macro="">
      <xdr:nvGraphicFramePr>
        <xdr:cNvPr id="27" name="Gráfico 26">
          <a:extLst>
            <a:ext uri="{FF2B5EF4-FFF2-40B4-BE49-F238E27FC236}">
              <a16:creationId xmlns:a16="http://schemas.microsoft.com/office/drawing/2014/main" id="{00000000-0008-0000-0400-00001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9524</xdr:colOff>
      <xdr:row>111</xdr:row>
      <xdr:rowOff>45720</xdr:rowOff>
    </xdr:from>
    <xdr:to>
      <xdr:col>9</xdr:col>
      <xdr:colOff>647699</xdr:colOff>
      <xdr:row>117</xdr:row>
      <xdr:rowOff>45720</xdr:rowOff>
    </xdr:to>
    <xdr:sp macro="" textlink="">
      <xdr:nvSpPr>
        <xdr:cNvPr id="29" name="CuadroTexto 28">
          <a:extLst>
            <a:ext uri="{FF2B5EF4-FFF2-40B4-BE49-F238E27FC236}">
              <a16:creationId xmlns:a16="http://schemas.microsoft.com/office/drawing/2014/main" id="{00000000-0008-0000-0400-00001D000000}"/>
            </a:ext>
          </a:extLst>
        </xdr:cNvPr>
        <xdr:cNvSpPr txBox="1"/>
      </xdr:nvSpPr>
      <xdr:spPr>
        <a:xfrm>
          <a:off x="228599" y="19314795"/>
          <a:ext cx="4752975"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s-ES" sz="1400" b="1" i="0" baseline="0">
              <a:solidFill>
                <a:schemeClr val="dk1"/>
              </a:solidFill>
              <a:effectLst/>
              <a:latin typeface="+mn-lt"/>
              <a:ea typeface="Helvetica Neue" panose="02000503000000020004" pitchFamily="2" charset="0"/>
              <a:cs typeface="Helvetica Neue" panose="02000503000000020004" pitchFamily="2" charset="0"/>
            </a:rPr>
            <a:t>· Competencias Personales</a:t>
          </a:r>
        </a:p>
        <a:p>
          <a:pPr marL="0" marR="0" lvl="0" indent="0" defTabSz="914400" eaLnBrk="1" fontAlgn="auto" latinLnBrk="0" hangingPunct="1">
            <a:lnSpc>
              <a:spcPct val="100000"/>
            </a:lnSpc>
            <a:spcBef>
              <a:spcPts val="0"/>
            </a:spcBef>
            <a:spcAft>
              <a:spcPts val="0"/>
            </a:spcAft>
            <a:buClrTx/>
            <a:buSzTx/>
            <a:buFontTx/>
            <a:buNone/>
            <a:tabLst/>
            <a:defRPr/>
          </a:pPr>
          <a:endParaRPr lang="es-ES" sz="400">
            <a:effectLst/>
            <a:latin typeface="+mn-lt"/>
            <a:ea typeface="Helvetica Neue" panose="02000503000000020004" pitchFamily="2" charset="0"/>
            <a:cs typeface="Helvetica Neue" panose="02000503000000020004" pitchFamily="2" charset="0"/>
          </a:endParaRPr>
        </a:p>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Análisis de Problemas y Toma de Decisiones</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identificar de manera efectiva la información relevante, generar distintas soluciones y ejecutar la línea de trabajo más conveniente para cada situación.</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119</xdr:row>
      <xdr:rowOff>140350</xdr:rowOff>
    </xdr:from>
    <xdr:to>
      <xdr:col>9</xdr:col>
      <xdr:colOff>400050</xdr:colOff>
      <xdr:row>125</xdr:row>
      <xdr:rowOff>3100</xdr:rowOff>
    </xdr:to>
    <xdr:graphicFrame macro="">
      <xdr:nvGraphicFramePr>
        <xdr:cNvPr id="30" name="Gráfico 29">
          <a:extLst>
            <a:ext uri="{FF2B5EF4-FFF2-40B4-BE49-F238E27FC236}">
              <a16:creationId xmlns:a16="http://schemas.microsoft.com/office/drawing/2014/main" id="{00000000-0008-0000-04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125</xdr:row>
      <xdr:rowOff>78105</xdr:rowOff>
    </xdr:from>
    <xdr:to>
      <xdr:col>9</xdr:col>
      <xdr:colOff>3810</xdr:colOff>
      <xdr:row>125</xdr:row>
      <xdr:rowOff>85725</xdr:rowOff>
    </xdr:to>
    <xdr:cxnSp macro="">
      <xdr:nvCxnSpPr>
        <xdr:cNvPr id="31" name="Conector recto 30">
          <a:extLst>
            <a:ext uri="{FF2B5EF4-FFF2-40B4-BE49-F238E27FC236}">
              <a16:creationId xmlns:a16="http://schemas.microsoft.com/office/drawing/2014/main" id="{00000000-0008-0000-0400-00001F000000}"/>
            </a:ext>
          </a:extLst>
        </xdr:cNvPr>
        <xdr:cNvCxnSpPr/>
      </xdr:nvCxnSpPr>
      <xdr:spPr>
        <a:xfrm flipV="1">
          <a:off x="219075" y="21728430"/>
          <a:ext cx="4118610" cy="762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126</xdr:row>
      <xdr:rowOff>0</xdr:rowOff>
    </xdr:from>
    <xdr:to>
      <xdr:col>9</xdr:col>
      <xdr:colOff>647700</xdr:colOff>
      <xdr:row>129</xdr:row>
      <xdr:rowOff>76200</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228600" y="21840825"/>
          <a:ext cx="475297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Tiempo</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priorizar las tareas, programar las actividades de manera adecuada y ejecutarlas en el plazo previsto.</a:t>
          </a:r>
          <a:endParaRPr lang="es-ES" sz="18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132</xdr:row>
      <xdr:rowOff>111774</xdr:rowOff>
    </xdr:from>
    <xdr:to>
      <xdr:col>9</xdr:col>
      <xdr:colOff>400050</xdr:colOff>
      <xdr:row>137</xdr:row>
      <xdr:rowOff>117399</xdr:rowOff>
    </xdr:to>
    <xdr:graphicFrame macro="">
      <xdr:nvGraphicFramePr>
        <xdr:cNvPr id="33" name="Gráfico 32">
          <a:extLst>
            <a:ext uri="{FF2B5EF4-FFF2-40B4-BE49-F238E27FC236}">
              <a16:creationId xmlns:a16="http://schemas.microsoft.com/office/drawing/2014/main" id="{00000000-0008-0000-0400-000021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138</xdr:row>
      <xdr:rowOff>45720</xdr:rowOff>
    </xdr:from>
    <xdr:to>
      <xdr:col>8</xdr:col>
      <xdr:colOff>539115</xdr:colOff>
      <xdr:row>138</xdr:row>
      <xdr:rowOff>57150</xdr:rowOff>
    </xdr:to>
    <xdr:cxnSp macro="">
      <xdr:nvCxnSpPr>
        <xdr:cNvPr id="34" name="Conector recto 33">
          <a:extLst>
            <a:ext uri="{FF2B5EF4-FFF2-40B4-BE49-F238E27FC236}">
              <a16:creationId xmlns:a16="http://schemas.microsoft.com/office/drawing/2014/main" id="{00000000-0008-0000-0400-000022000000}"/>
            </a:ext>
          </a:extLst>
        </xdr:cNvPr>
        <xdr:cNvCxnSpPr/>
      </xdr:nvCxnSpPr>
      <xdr:spPr>
        <a:xfrm flipV="1">
          <a:off x="219075" y="23896320"/>
          <a:ext cx="4110990" cy="114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138</xdr:row>
      <xdr:rowOff>71715</xdr:rowOff>
    </xdr:from>
    <xdr:to>
      <xdr:col>9</xdr:col>
      <xdr:colOff>647700</xdr:colOff>
      <xdr:row>142</xdr:row>
      <xdr:rowOff>0</xdr:rowOff>
    </xdr:to>
    <xdr:sp macro="" textlink="">
      <xdr:nvSpPr>
        <xdr:cNvPr id="35" name="CuadroTexto 34">
          <a:extLst>
            <a:ext uri="{FF2B5EF4-FFF2-40B4-BE49-F238E27FC236}">
              <a16:creationId xmlns:a16="http://schemas.microsoft.com/office/drawing/2014/main" id="{00000000-0008-0000-0400-000023000000}"/>
            </a:ext>
          </a:extLst>
        </xdr:cNvPr>
        <xdr:cNvSpPr txBox="1"/>
      </xdr:nvSpPr>
      <xdr:spPr>
        <a:xfrm>
          <a:off x="228600" y="23912790"/>
          <a:ext cx="4752975" cy="69028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chemeClr val="dk1"/>
              </a:solidFill>
              <a:latin typeface="+mn-lt"/>
              <a:ea typeface="Helvetica Neue" panose="02000503000000020004" pitchFamily="2" charset="0"/>
              <a:cs typeface="Helvetica Neue" panose="02000503000000020004" pitchFamily="2" charset="0"/>
            </a:rPr>
            <a:t>       Gestión del Cambio y del Aprendizaje</a:t>
          </a:r>
        </a:p>
        <a:p>
          <a:pPr lvl="1"/>
          <a:r>
            <a:rPr lang="es-ES" sz="1100" b="0" i="0" u="none" strike="noStrike" baseline="0">
              <a:solidFill>
                <a:schemeClr val="dk1"/>
              </a:solidFill>
              <a:latin typeface="+mn-lt"/>
              <a:ea typeface="Helvetica Neue" panose="02000503000000020004" pitchFamily="2" charset="0"/>
              <a:cs typeface="Helvetica Neue" panose="02000503000000020004" pitchFamily="2" charset="0"/>
            </a:rPr>
            <a:t>Capacidad para estar abierto al cambio y asimilar nuevos conocimientos y comportamientos.</a:t>
          </a:r>
          <a:endParaRPr lang="es-ES" sz="2400">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144</xdr:row>
      <xdr:rowOff>92725</xdr:rowOff>
    </xdr:from>
    <xdr:to>
      <xdr:col>9</xdr:col>
      <xdr:colOff>407670</xdr:colOff>
      <xdr:row>149</xdr:row>
      <xdr:rowOff>98350</xdr:rowOff>
    </xdr:to>
    <xdr:graphicFrame macro="">
      <xdr:nvGraphicFramePr>
        <xdr:cNvPr id="36" name="Gráfico 35">
          <a:extLst>
            <a:ext uri="{FF2B5EF4-FFF2-40B4-BE49-F238E27FC236}">
              <a16:creationId xmlns:a16="http://schemas.microsoft.com/office/drawing/2014/main" id="{00000000-0008-0000-0400-00002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150</xdr:row>
      <xdr:rowOff>38100</xdr:rowOff>
    </xdr:from>
    <xdr:to>
      <xdr:col>8</xdr:col>
      <xdr:colOff>822960</xdr:colOff>
      <xdr:row>150</xdr:row>
      <xdr:rowOff>60960</xdr:rowOff>
    </xdr:to>
    <xdr:cxnSp macro="">
      <xdr:nvCxnSpPr>
        <xdr:cNvPr id="37" name="Conector recto 36">
          <a:extLst>
            <a:ext uri="{FF2B5EF4-FFF2-40B4-BE49-F238E27FC236}">
              <a16:creationId xmlns:a16="http://schemas.microsoft.com/office/drawing/2014/main" id="{00000000-0008-0000-0400-000025000000}"/>
            </a:ext>
          </a:extLst>
        </xdr:cNvPr>
        <xdr:cNvCxnSpPr/>
      </xdr:nvCxnSpPr>
      <xdr:spPr>
        <a:xfrm>
          <a:off x="228600" y="24513540"/>
          <a:ext cx="5113020" cy="2286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9525</xdr:colOff>
      <xdr:row>150</xdr:row>
      <xdr:rowOff>88965</xdr:rowOff>
    </xdr:from>
    <xdr:to>
      <xdr:col>9</xdr:col>
      <xdr:colOff>647700</xdr:colOff>
      <xdr:row>154</xdr:row>
      <xdr:rowOff>161924</xdr:rowOff>
    </xdr:to>
    <xdr:sp macro="" textlink="">
      <xdr:nvSpPr>
        <xdr:cNvPr id="38" name="CuadroTexto 37">
          <a:extLst>
            <a:ext uri="{FF2B5EF4-FFF2-40B4-BE49-F238E27FC236}">
              <a16:creationId xmlns:a16="http://schemas.microsoft.com/office/drawing/2014/main" id="{00000000-0008-0000-0400-000026000000}"/>
            </a:ext>
          </a:extLst>
        </xdr:cNvPr>
        <xdr:cNvSpPr txBox="1"/>
      </xdr:nvSpPr>
      <xdr:spPr>
        <a:xfrm>
          <a:off x="228600" y="25930290"/>
          <a:ext cx="4752975" cy="83495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0"/>
          <a:r>
            <a:rPr lang="es-ES" sz="1200" b="1" i="0" u="none" strike="noStrike" baseline="0">
              <a:solidFill>
                <a:sysClr val="windowText" lastClr="000000"/>
              </a:solidFill>
              <a:latin typeface="+mn-lt"/>
              <a:ea typeface="Helvetica Neue" panose="02000503000000020004" pitchFamily="2" charset="0"/>
              <a:cs typeface="Helvetica Neue" panose="02000503000000020004" pitchFamily="2" charset="0"/>
            </a:rPr>
            <a:t>       Autocontrol y equilibrio emocional</a:t>
          </a:r>
        </a:p>
        <a:p>
          <a:pPr lvl="1"/>
          <a:r>
            <a:rPr lang="es-ES" sz="1100" b="0" i="0" u="none" strike="noStrike" baseline="0">
              <a:solidFill>
                <a:sysClr val="windowText" lastClr="000000"/>
              </a:solidFill>
              <a:latin typeface="+mn-lt"/>
              <a:ea typeface="Helvetica Neue" panose="02000503000000020004" pitchFamily="2" charset="0"/>
              <a:cs typeface="Helvetica Neue" panose="02000503000000020004" pitchFamily="2" charset="0"/>
            </a:rPr>
            <a:t>Capacidad para reaccionar con el estado de ánimo apropiado y comportándose de manera ecuánime ante cualquier situación.</a:t>
          </a:r>
          <a:endParaRPr lang="es-ES" sz="2400">
            <a:solidFill>
              <a:sysClr val="windowText" lastClr="000000"/>
            </a:solidFill>
            <a:latin typeface="+mn-lt"/>
            <a:ea typeface="Helvetica Neue" panose="02000503000000020004" pitchFamily="2" charset="0"/>
            <a:cs typeface="Helvetica Neue" panose="02000503000000020004" pitchFamily="2" charset="0"/>
          </a:endParaRPr>
        </a:p>
      </xdr:txBody>
    </xdr:sp>
    <xdr:clientData/>
  </xdr:twoCellAnchor>
  <xdr:twoCellAnchor>
    <xdr:from>
      <xdr:col>0</xdr:col>
      <xdr:colOff>166693</xdr:colOff>
      <xdr:row>157</xdr:row>
      <xdr:rowOff>111775</xdr:rowOff>
    </xdr:from>
    <xdr:to>
      <xdr:col>9</xdr:col>
      <xdr:colOff>398145</xdr:colOff>
      <xdr:row>162</xdr:row>
      <xdr:rowOff>117400</xdr:rowOff>
    </xdr:to>
    <xdr:graphicFrame macro="">
      <xdr:nvGraphicFramePr>
        <xdr:cNvPr id="39" name="Gráfico 38">
          <a:extLst>
            <a:ext uri="{FF2B5EF4-FFF2-40B4-BE49-F238E27FC236}">
              <a16:creationId xmlns:a16="http://schemas.microsoft.com/office/drawing/2014/main" id="{00000000-0008-0000-0400-00002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9525</xdr:colOff>
      <xdr:row>163</xdr:row>
      <xdr:rowOff>47625</xdr:rowOff>
    </xdr:from>
    <xdr:to>
      <xdr:col>8</xdr:col>
      <xdr:colOff>807720</xdr:colOff>
      <xdr:row>163</xdr:row>
      <xdr:rowOff>76200</xdr:rowOff>
    </xdr:to>
    <xdr:cxnSp macro="">
      <xdr:nvCxnSpPr>
        <xdr:cNvPr id="48" name="Conector recto 47">
          <a:extLst>
            <a:ext uri="{FF2B5EF4-FFF2-40B4-BE49-F238E27FC236}">
              <a16:creationId xmlns:a16="http://schemas.microsoft.com/office/drawing/2014/main" id="{00000000-0008-0000-0400-000030000000}"/>
            </a:ext>
          </a:extLst>
        </xdr:cNvPr>
        <xdr:cNvCxnSpPr/>
      </xdr:nvCxnSpPr>
      <xdr:spPr>
        <a:xfrm>
          <a:off x="238125" y="26626185"/>
          <a:ext cx="5088255" cy="285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47625</xdr:colOff>
      <xdr:row>6</xdr:row>
      <xdr:rowOff>53875</xdr:rowOff>
    </xdr:from>
    <xdr:to>
      <xdr:col>4</xdr:col>
      <xdr:colOff>1395085</xdr:colOff>
      <xdr:row>27</xdr:row>
      <xdr:rowOff>145750</xdr:rowOff>
    </xdr:to>
    <xdr:graphicFrame macro="">
      <xdr:nvGraphicFramePr>
        <xdr:cNvPr id="2" name="Gráfico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128816</xdr:colOff>
      <xdr:row>6</xdr:row>
      <xdr:rowOff>89807</xdr:rowOff>
    </xdr:from>
    <xdr:to>
      <xdr:col>4</xdr:col>
      <xdr:colOff>1355591</xdr:colOff>
      <xdr:row>27</xdr:row>
      <xdr:rowOff>181682</xdr:rowOff>
    </xdr:to>
    <xdr:graphicFrame macro="">
      <xdr:nvGraphicFramePr>
        <xdr:cNvPr id="3" name="Gráfico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49306</xdr:colOff>
      <xdr:row>4</xdr:row>
      <xdr:rowOff>5303</xdr:rowOff>
    </xdr:from>
    <xdr:to>
      <xdr:col>7</xdr:col>
      <xdr:colOff>753631</xdr:colOff>
      <xdr:row>45</xdr:row>
      <xdr:rowOff>108080</xdr:rowOff>
    </xdr:to>
    <xdr:sp macro="" textlink="">
      <xdr:nvSpPr>
        <xdr:cNvPr id="3" name="CuadroTexto 2">
          <a:extLst>
            <a:ext uri="{FF2B5EF4-FFF2-40B4-BE49-F238E27FC236}">
              <a16:creationId xmlns:a16="http://schemas.microsoft.com/office/drawing/2014/main" id="{9B2CE58F-AB22-4F17-A926-CCFAF1C3A443}"/>
            </a:ext>
          </a:extLst>
        </xdr:cNvPr>
        <xdr:cNvSpPr txBox="1"/>
      </xdr:nvSpPr>
      <xdr:spPr>
        <a:xfrm>
          <a:off x="49306" y="814928"/>
          <a:ext cx="5485875" cy="8141877"/>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47626</xdr:colOff>
      <xdr:row>4</xdr:row>
      <xdr:rowOff>0</xdr:rowOff>
    </xdr:from>
    <xdr:to>
      <xdr:col>7</xdr:col>
      <xdr:colOff>809626</xdr:colOff>
      <xdr:row>43</xdr:row>
      <xdr:rowOff>79375</xdr:rowOff>
    </xdr:to>
    <xdr:sp macro="" textlink="">
      <xdr:nvSpPr>
        <xdr:cNvPr id="3" name="CuadroTexto 2">
          <a:extLst>
            <a:ext uri="{FF2B5EF4-FFF2-40B4-BE49-F238E27FC236}">
              <a16:creationId xmlns:a16="http://schemas.microsoft.com/office/drawing/2014/main" id="{D1609E66-6FB7-43E9-B54F-C62E062CD555}"/>
            </a:ext>
          </a:extLst>
        </xdr:cNvPr>
        <xdr:cNvSpPr txBox="1"/>
      </xdr:nvSpPr>
      <xdr:spPr>
        <a:xfrm>
          <a:off x="47626" y="809625"/>
          <a:ext cx="5543550" cy="7737475"/>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lvl="1"/>
          <a:endParaRPr lang="es-ES" sz="14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47625</xdr:colOff>
      <xdr:row>4</xdr:row>
      <xdr:rowOff>160020</xdr:rowOff>
    </xdr:from>
    <xdr:to>
      <xdr:col>7</xdr:col>
      <xdr:colOff>751950</xdr:colOff>
      <xdr:row>45</xdr:row>
      <xdr:rowOff>129540</xdr:rowOff>
    </xdr:to>
    <xdr:sp macro="" textlink="">
      <xdr:nvSpPr>
        <xdr:cNvPr id="2" name="CuadroTexto 1">
          <a:extLst>
            <a:ext uri="{FF2B5EF4-FFF2-40B4-BE49-F238E27FC236}">
              <a16:creationId xmlns:a16="http://schemas.microsoft.com/office/drawing/2014/main" id="{00000000-0008-0000-0B00-000002000000}"/>
            </a:ext>
          </a:extLst>
        </xdr:cNvPr>
        <xdr:cNvSpPr txBox="1"/>
      </xdr:nvSpPr>
      <xdr:spPr>
        <a:xfrm>
          <a:off x="47625" y="937260"/>
          <a:ext cx="5672565" cy="7467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s-ES" sz="1200" b="0" i="0" u="none" strike="noStrike" baseline="0">
              <a:solidFill>
                <a:sysClr val="windowText" lastClr="000000"/>
              </a:solidFill>
              <a:latin typeface="+mn-lt"/>
              <a:ea typeface="+mn-ea"/>
              <a:cs typeface="+mn-cs"/>
            </a:rPr>
            <a:t>Ahora que has analizado tu feedback 360°, es el momento de realizar un Plan de Mejora. A continuación te sugerimos algunas pautas para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A. Concreta muy pocas competencias a mejorar (un máximo de tres) teniendo en cuenta que:</a:t>
          </a:r>
        </a:p>
        <a:p>
          <a:pPr lvl="1" algn="just"/>
          <a:r>
            <a:rPr lang="es-ES" sz="1200" b="0" i="0" u="none" strike="noStrike" baseline="0">
              <a:solidFill>
                <a:sysClr val="windowText" lastClr="000000"/>
              </a:solidFill>
              <a:latin typeface="+mn-lt"/>
              <a:ea typeface="+mn-ea"/>
              <a:cs typeface="+mn-cs"/>
            </a:rPr>
            <a:t>- Tus zonas ciegas: te están indicando aquellas competencias que tu entorno las considera más urgentes.</a:t>
          </a:r>
        </a:p>
        <a:p>
          <a:pPr lvl="1" algn="just"/>
          <a:r>
            <a:rPr lang="es-ES" sz="1200" b="0" i="0" u="none" strike="noStrike" baseline="0">
              <a:solidFill>
                <a:sysClr val="windowText" lastClr="000000"/>
              </a:solidFill>
              <a:latin typeface="+mn-lt"/>
              <a:ea typeface="+mn-ea"/>
              <a:cs typeface="+mn-cs"/>
            </a:rPr>
            <a:t>- Tus puntos débiles (los menos valorados): constituyen un punto crítico que te están imposibilitando crecer, y además te impiden que tus puntos fuertes brillen con más fuerza.</a:t>
          </a:r>
        </a:p>
        <a:p>
          <a:pPr lvl="1" algn="just"/>
          <a:r>
            <a:rPr lang="es-ES" sz="1200" b="0" i="0" u="none" strike="noStrike" baseline="0">
              <a:solidFill>
                <a:sysClr val="windowText" lastClr="000000"/>
              </a:solidFill>
              <a:latin typeface="+mn-lt"/>
              <a:ea typeface="+mn-ea"/>
              <a:cs typeface="+mn-cs"/>
            </a:rPr>
            <a:t>- Ten en cuenta que tu capacidad real para mejorar una competencia u otra no es la misma. Esa capacidad estará en función de tres factores: posibilidad de poner en práctica esa competencia, que sea relevante para el puesto que ocupas y que tengas una actitud positiva frente a ella.</a:t>
          </a:r>
        </a:p>
        <a:p>
          <a:pPr lvl="1"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B. Sigue una estructura clara para el Plan de Mejora. Esa estructura ha de constar de tres niveles de concreción: la competencia que te has comprometido mejorar, especificar aquellos comportamientos que potencian esa competencia y convertirlos en acciones que tengan previsto el momento, el lugar y el modo adecuado.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C. Un buen plan de mejora ha de contar, además, con varios elementos o ingredientes que faciliten el aprendizaje y el desarrollo: información sobre esa competencia (aspectos clave), formación (reconocerlo para la situación laboral propia), experimentación (llevarlo a la práctica en el puesto de trabajo) y evaluación (constatar su crecimiento y mejora).</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D. Procura llevar a tu calendario de trabajo ese plan de mejora. Algunos expertos en coaching manifiestan que una persona necesita ejercitarse en una mejora concreta, al menos, durante treinta ocasiones consecutivas aproximadamente, y entonces podrá considerar que ha incorporado esa competencia al nivel subsconsciente: máximo nivel de liderazgo (persona competente que además ni siquiera es consciente de ello).</a:t>
          </a:r>
        </a:p>
        <a:p>
          <a:pPr algn="just"/>
          <a:endParaRPr lang="es-ES" sz="1200" b="0" i="0" u="none" strike="noStrike" baseline="0">
            <a:solidFill>
              <a:sysClr val="windowText" lastClr="000000"/>
            </a:solidFill>
            <a:latin typeface="+mn-lt"/>
            <a:ea typeface="+mn-ea"/>
            <a:cs typeface="+mn-cs"/>
          </a:endParaRPr>
        </a:p>
        <a:p>
          <a:pPr algn="just"/>
          <a:r>
            <a:rPr lang="es-ES" sz="1200" b="0" i="0" u="none" strike="noStrike" baseline="0">
              <a:solidFill>
                <a:sysClr val="windowText" lastClr="000000"/>
              </a:solidFill>
              <a:latin typeface="+mn-lt"/>
              <a:ea typeface="+mn-ea"/>
              <a:cs typeface="+mn-cs"/>
            </a:rPr>
            <a:t>E. Busca apoyos externos que te ayuden a seguir en el camino de la excelencia que has emprendido: el inacabable -pero maravilloso- reto de la mejora continua.</a:t>
          </a:r>
          <a:endParaRPr lang="es-ES" sz="1200">
            <a:solidFill>
              <a:sysClr val="windowText" lastClr="000000"/>
            </a:solidFill>
            <a:latin typeface="+mn-lt"/>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406400</xdr:colOff>
      <xdr:row>9</xdr:row>
      <xdr:rowOff>3810</xdr:rowOff>
    </xdr:from>
    <xdr:to>
      <xdr:col>8</xdr:col>
      <xdr:colOff>317500</xdr:colOff>
      <xdr:row>22</xdr:row>
      <xdr:rowOff>116840</xdr:rowOff>
    </xdr:to>
    <xdr:sp macro="" textlink="">
      <xdr:nvSpPr>
        <xdr:cNvPr id="3" name="CuadroTexto 2">
          <a:extLst>
            <a:ext uri="{FF2B5EF4-FFF2-40B4-BE49-F238E27FC236}">
              <a16:creationId xmlns:a16="http://schemas.microsoft.com/office/drawing/2014/main" id="{00000000-0008-0000-0C00-000003000000}"/>
            </a:ext>
          </a:extLst>
        </xdr:cNvPr>
        <xdr:cNvSpPr txBox="1"/>
      </xdr:nvSpPr>
      <xdr:spPr>
        <a:xfrm>
          <a:off x="3439160" y="2167890"/>
          <a:ext cx="2052320" cy="25057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190500</xdr:colOff>
      <xdr:row>9</xdr:row>
      <xdr:rowOff>6350</xdr:rowOff>
    </xdr:from>
    <xdr:to>
      <xdr:col>6</xdr:col>
      <xdr:colOff>292100</xdr:colOff>
      <xdr:row>22</xdr:row>
      <xdr:rowOff>114300</xdr:rowOff>
    </xdr:to>
    <xdr:sp macro="" textlink="">
      <xdr:nvSpPr>
        <xdr:cNvPr id="7" name="CuadroTexto 2">
          <a:extLst>
            <a:ext uri="{FF2B5EF4-FFF2-40B4-BE49-F238E27FC236}">
              <a16:creationId xmlns:a16="http://schemas.microsoft.com/office/drawing/2014/main" id="{00000000-0008-0000-0C00-000007000000}"/>
            </a:ext>
          </a:extLst>
        </xdr:cNvPr>
        <xdr:cNvSpPr txBox="1"/>
      </xdr:nvSpPr>
      <xdr:spPr>
        <a:xfrm>
          <a:off x="1270000" y="21399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4</xdr:col>
      <xdr:colOff>185420</xdr:colOff>
      <xdr:row>23</xdr:row>
      <xdr:rowOff>19050</xdr:rowOff>
    </xdr:from>
    <xdr:to>
      <xdr:col>6</xdr:col>
      <xdr:colOff>287020</xdr:colOff>
      <xdr:row>36</xdr:row>
      <xdr:rowOff>152400</xdr:rowOff>
    </xdr:to>
    <xdr:sp macro="" textlink="">
      <xdr:nvSpPr>
        <xdr:cNvPr id="8" name="CuadroTexto 2">
          <a:extLst>
            <a:ext uri="{FF2B5EF4-FFF2-40B4-BE49-F238E27FC236}">
              <a16:creationId xmlns:a16="http://schemas.microsoft.com/office/drawing/2014/main" id="{00000000-0008-0000-0C00-000008000000}"/>
            </a:ext>
          </a:extLst>
        </xdr:cNvPr>
        <xdr:cNvSpPr txBox="1"/>
      </xdr:nvSpPr>
      <xdr:spPr>
        <a:xfrm>
          <a:off x="1259840" y="4758690"/>
          <a:ext cx="2059940" cy="32042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twoCellAnchor>
    <xdr:from>
      <xdr:col>6</xdr:col>
      <xdr:colOff>406400</xdr:colOff>
      <xdr:row>23</xdr:row>
      <xdr:rowOff>19050</xdr:rowOff>
    </xdr:from>
    <xdr:to>
      <xdr:col>8</xdr:col>
      <xdr:colOff>317500</xdr:colOff>
      <xdr:row>36</xdr:row>
      <xdr:rowOff>152400</xdr:rowOff>
    </xdr:to>
    <xdr:sp macro="" textlink="">
      <xdr:nvSpPr>
        <xdr:cNvPr id="9" name="CuadroTexto 2">
          <a:extLst>
            <a:ext uri="{FF2B5EF4-FFF2-40B4-BE49-F238E27FC236}">
              <a16:creationId xmlns:a16="http://schemas.microsoft.com/office/drawing/2014/main" id="{00000000-0008-0000-0C00-000009000000}"/>
            </a:ext>
          </a:extLst>
        </xdr:cNvPr>
        <xdr:cNvSpPr txBox="1"/>
      </xdr:nvSpPr>
      <xdr:spPr>
        <a:xfrm>
          <a:off x="3441700" y="4667250"/>
          <a:ext cx="2057400" cy="2444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s-E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2.vml" Type="http://schemas.openxmlformats.org/officeDocument/2006/relationships/vmlDrawing"/></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drawing2.xml" Type="http://schemas.openxmlformats.org/officeDocument/2006/relationships/drawing"/><Relationship Id="rId3" Target="../drawings/vmlDrawing3.vml" Type="http://schemas.openxmlformats.org/officeDocument/2006/relationships/vmlDrawing"/></Relationships>
</file>

<file path=xl/worksheets/_rels/sheet4.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drawing3.xml" Type="http://schemas.openxmlformats.org/officeDocument/2006/relationships/drawing"/><Relationship Id="rId3" Target="../drawings/vmlDrawing4.vml" Type="http://schemas.openxmlformats.org/officeDocument/2006/relationships/vmlDrawing"/></Relationships>
</file>

<file path=xl/worksheets/_rels/sheet5.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drawings/drawing4.xml" Type="http://schemas.openxmlformats.org/officeDocument/2006/relationships/drawing"/><Relationship Id="rId3" Target="../drawings/vmlDrawing5.vml" Type="http://schemas.openxmlformats.org/officeDocument/2006/relationships/vmlDrawing"/></Relationships>
</file>

<file path=xl/worksheets/_rels/sheet6.xml.rels><?xml version="1.0" encoding="UTF-8" standalone="no"?><Relationships xmlns="http://schemas.openxmlformats.org/package/2006/relationships"><Relationship Id="rId1" Target="../printerSettings/printerSettings6.bin" Type="http://schemas.openxmlformats.org/officeDocument/2006/relationships/printerSettings"/><Relationship Id="rId2" Target="../drawings/drawing5.xml" Type="http://schemas.openxmlformats.org/officeDocument/2006/relationships/drawing"/><Relationship Id="rId3" Target="../drawings/vmlDrawing6.vml" Type="http://schemas.openxmlformats.org/officeDocument/2006/relationships/vmlDrawing"/></Relationships>
</file>

<file path=xl/worksheets/_rels/sheet7.xml.rels><?xml version="1.0" encoding="UTF-8" standalone="no"?><Relationships xmlns="http://schemas.openxmlformats.org/package/2006/relationships"><Relationship Id="rId1" Target="../printerSettings/printerSettings7.bin" Type="http://schemas.openxmlformats.org/officeDocument/2006/relationships/printerSettings"/><Relationship Id="rId2" Target="../drawings/drawing6.xml" Type="http://schemas.openxmlformats.org/officeDocument/2006/relationships/drawing"/><Relationship Id="rId3" Target="../drawings/vmlDrawing7.vml" Type="http://schemas.openxmlformats.org/officeDocument/2006/relationships/vmlDrawing"/></Relationships>
</file>

<file path=xl/worksheets/_rels/sheet8.xml.rels><?xml version="1.0" encoding="UTF-8" standalone="no"?><Relationships xmlns="http://schemas.openxmlformats.org/package/2006/relationships"><Relationship Id="rId1" Target="../printerSettings/printerSettings8.bin" Type="http://schemas.openxmlformats.org/officeDocument/2006/relationships/printerSettings"/><Relationship Id="rId2" Target="../drawings/drawing7.xml" Type="http://schemas.openxmlformats.org/officeDocument/2006/relationships/drawing"/><Relationship Id="rId3" Target="../drawings/vmlDrawing8.vml" Type="http://schemas.openxmlformats.org/officeDocument/2006/relationships/vmlDrawing"/></Relationships>
</file>

<file path=xl/worksheets/_rels/sheet9.xml.rels><?xml version="1.0" encoding="UTF-8" standalone="no"?><Relationships xmlns="http://schemas.openxmlformats.org/package/2006/relationships"><Relationship Id="rId1" Target="../printerSettings/printerSettings9.bin" Type="http://schemas.openxmlformats.org/officeDocument/2006/relationships/printerSettings"/><Relationship Id="rId2" Target="../drawings/drawing8.xml" Type="http://schemas.openxmlformats.org/officeDocument/2006/relationships/drawing"/><Relationship Id="rId3" Target="../drawings/vmlDrawing9.vml" Type="http://schemas.openxmlformats.org/officeDocument/2006/relationships/vmlDrawing"/></Relationships>
</file>

<file path=xl/worksheets/_rels/sheet10.xml.rels><?xml version="1.0" encoding="UTF-8" standalone="no"?><Relationships xmlns="http://schemas.openxmlformats.org/package/2006/relationships"><Relationship Id="rId1" Target="../printerSettings/printerSettings10.bin" Type="http://schemas.openxmlformats.org/officeDocument/2006/relationships/printerSettings"/><Relationship Id="rId2" Target="../drawings/drawing9.xml" Type="http://schemas.openxmlformats.org/officeDocument/2006/relationships/drawing"/><Relationship Id="rId3" Target="../drawings/vmlDrawing10.vml" Type="http://schemas.openxmlformats.org/officeDocument/2006/relationships/vmlDrawing"/></Relationships>
</file>

<file path=xl/worksheets/_rels/sheet11.xml.rels><?xml version="1.0" encoding="UTF-8" standalone="no"?><Relationships xmlns="http://schemas.openxmlformats.org/package/2006/relationships"><Relationship Id="rId1" Target="../printerSettings/printerSettings11.bin" Type="http://schemas.openxmlformats.org/officeDocument/2006/relationships/printerSettings"/><Relationship Id="rId2" Target="../drawings/drawing10.xml" Type="http://schemas.openxmlformats.org/officeDocument/2006/relationships/drawing"/><Relationship Id="rId3" Target="../drawings/vmlDrawing11.vml" Type="http://schemas.openxmlformats.org/officeDocument/2006/relationships/vmlDrawing"/></Relationships>
</file>

<file path=xl/worksheets/_rels/sheet12.xml.rels><?xml version="1.0" encoding="UTF-8" standalone="no"?><Relationships xmlns="http://schemas.openxmlformats.org/package/2006/relationships"><Relationship Id="rId1" Target="../printerSettings/printerSettings12.bin" Type="http://schemas.openxmlformats.org/officeDocument/2006/relationships/printerSettings"/><Relationship Id="rId2" Target="../drawings/vmlDrawing12.vml" Type="http://schemas.openxmlformats.org/officeDocument/2006/relationships/vmlDrawing"/></Relationships>
</file>

<file path=xl/worksheets/_rels/sheet13.xml.rels><?xml version="1.0" encoding="UTF-8" standalone="no"?><Relationships xmlns="http://schemas.openxmlformats.org/package/2006/relationships"><Relationship Id="rId1" Target="../printerSettings/printerSettings13.bin" Type="http://schemas.openxmlformats.org/officeDocument/2006/relationships/printerSettings"/><Relationship Id="rId2" Target="../drawings/vmlDrawing13.vml" Type="http://schemas.openxmlformats.org/officeDocument/2006/relationships/vmlDrawing"/></Relationships>
</file>

<file path=xl/worksheets/_rels/sheet14.xml.rels><?xml version="1.0" encoding="UTF-8" standalone="no"?><Relationships xmlns="http://schemas.openxmlformats.org/package/2006/relationships"><Relationship Id="rId1" Target="../printerSettings/printerSettings14.bin" Type="http://schemas.openxmlformats.org/officeDocument/2006/relationships/printerSettings"/><Relationship Id="rId2" Target="../drawings/vmlDrawing14.vml" Type="http://schemas.openxmlformats.org/officeDocument/2006/relationships/vmlDrawing"/></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B13:P47"/>
  <sheetViews>
    <sheetView showGridLines="0" view="pageBreakPreview" zoomScaleNormal="100" zoomScaleSheetLayoutView="100" zoomScalePageLayoutView="55" workbookViewId="0"/>
  </sheetViews>
  <sheetFormatPr baseColWidth="10" defaultColWidth="9.140625" defaultRowHeight="15"/>
  <cols>
    <col min="1" max="1" customWidth="true" width="9.140625" collapsed="false"/>
    <col min="2" max="14" customWidth="true" width="4.7109375" collapsed="false"/>
    <col min="16" max="16" bestFit="true" customWidth="true" width="14.5703125" collapsed="false"/>
  </cols>
  <sheetData>
    <row r="13" spans="2:15" ht="21">
      <c r="B13" s="88" t="s">
        <v>286</v>
      </c>
      <c r="C13" s="88"/>
      <c r="D13" s="88"/>
      <c r="E13" s="88"/>
      <c r="F13" s="88"/>
      <c r="G13" s="88"/>
      <c r="H13" s="88"/>
      <c r="I13" s="88"/>
      <c r="J13" s="88"/>
      <c r="K13" s="88"/>
      <c r="L13" s="88"/>
      <c r="M13" s="88"/>
      <c r="N13" s="88"/>
      <c r="O13" s="88"/>
    </row>
    <row r="28" spans="13:13" ht="23.25">
      <c r="M28" s="68" t="str">
        <f>Datos!D1</f>
        <v>Nombre y Apellidos</v>
      </c>
    </row>
    <row r="46" spans="15:16">
      <c r="O46" s="89">
        <f ca="1">TODAY()</f>
        <v>44133</v>
      </c>
      <c r="P46" s="89"/>
    </row>
    <row r="47" spans="15:16">
      <c r="O47" s="89"/>
      <c r="P47" s="89"/>
    </row>
  </sheetData>
  <mergeCells count="1">
    <mergeCell ref="O46:P47"/>
  </mergeCells>
  <pageMargins left="0.25" right="0.25" top="0.75" bottom="0.75" header="0.3" footer="0.3"/>
  <pageSetup paperSize="9" orientation="portrait" r:id="rId1"/>
  <headerFooter alignWithMargins="0">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B1:H18"/>
  <sheetViews>
    <sheetView showGridLines="0" view="pageBreakPreview" zoomScaleNormal="100" zoomScaleSheetLayoutView="100" workbookViewId="0"/>
  </sheetViews>
  <sheetFormatPr baseColWidth="10" defaultRowHeight="15"/>
  <cols>
    <col min="1" max="1" customWidth="true" width="8.42578125" collapsed="false"/>
    <col min="2" max="2" customWidth="true" width="9.140625" collapsed="false"/>
  </cols>
  <sheetData>
    <row r="1" spans="2:8">
      <c r="B1" s="1"/>
    </row>
    <row r="2" spans="2:8" ht="54" customHeight="1">
      <c r="B2" s="1"/>
    </row>
    <row r="3" spans="2:8">
      <c r="B3" s="1"/>
    </row>
    <row r="4" spans="2:8" ht="26.25">
      <c r="B4" s="1"/>
      <c r="E4" s="4" t="s">
        <v>191</v>
      </c>
    </row>
    <row r="5" spans="2:8">
      <c r="B5" s="1"/>
    </row>
    <row r="6" spans="2:8" ht="19.899999999999999" customHeight="1">
      <c r="B6" s="1"/>
      <c r="H6" s="60" t="s">
        <v>192</v>
      </c>
    </row>
    <row r="7" spans="2:8" ht="18.75">
      <c r="B7" s="40" t="s">
        <v>179</v>
      </c>
      <c r="C7" s="2" t="s">
        <v>193</v>
      </c>
      <c r="D7" s="2"/>
      <c r="E7" s="2"/>
      <c r="F7" s="41"/>
      <c r="G7" s="41"/>
      <c r="H7" s="59">
        <v>3</v>
      </c>
    </row>
    <row r="8" spans="2:8" ht="18.75">
      <c r="B8" s="40" t="s">
        <v>180</v>
      </c>
      <c r="C8" s="2" t="s">
        <v>0</v>
      </c>
      <c r="D8" s="2"/>
      <c r="E8" s="2"/>
      <c r="F8" s="41"/>
      <c r="G8" s="41"/>
      <c r="H8" s="59">
        <v>4</v>
      </c>
    </row>
    <row r="9" spans="2:8" ht="18.75">
      <c r="B9" s="40" t="s">
        <v>181</v>
      </c>
      <c r="C9" s="2" t="s">
        <v>1</v>
      </c>
      <c r="D9" s="2"/>
      <c r="E9" s="2"/>
      <c r="F9" s="41"/>
      <c r="G9" s="41"/>
      <c r="H9" s="59">
        <v>5</v>
      </c>
    </row>
    <row r="10" spans="2:8" ht="18.75">
      <c r="B10" s="40" t="s">
        <v>182</v>
      </c>
      <c r="C10" s="2" t="s">
        <v>2</v>
      </c>
      <c r="D10" s="2"/>
      <c r="E10" s="2"/>
      <c r="F10" s="41"/>
      <c r="G10" s="41"/>
      <c r="H10" s="59">
        <v>8</v>
      </c>
    </row>
    <row r="11" spans="2:8" ht="18.75">
      <c r="B11" s="40" t="s">
        <v>183</v>
      </c>
      <c r="C11" s="57" t="s">
        <v>209</v>
      </c>
      <c r="D11" s="2"/>
      <c r="E11" s="2"/>
      <c r="F11" s="56"/>
      <c r="G11" s="41"/>
      <c r="H11" s="59">
        <v>9</v>
      </c>
    </row>
    <row r="12" spans="2:8" ht="18.75">
      <c r="B12" s="40" t="s">
        <v>184</v>
      </c>
      <c r="C12" s="2" t="s">
        <v>3</v>
      </c>
      <c r="D12" s="2"/>
      <c r="E12" s="2"/>
      <c r="F12" s="41"/>
      <c r="G12" s="41"/>
      <c r="H12" s="59">
        <v>10</v>
      </c>
    </row>
    <row r="13" spans="2:8" ht="18.75">
      <c r="B13" s="40" t="s">
        <v>185</v>
      </c>
      <c r="C13" s="2" t="s">
        <v>4</v>
      </c>
      <c r="D13" s="2"/>
      <c r="E13" s="2"/>
      <c r="F13" s="41"/>
      <c r="G13" s="41"/>
      <c r="H13" s="59">
        <v>11</v>
      </c>
    </row>
    <row r="14" spans="2:8" ht="18.75">
      <c r="B14" s="40" t="s">
        <v>186</v>
      </c>
      <c r="C14" s="2" t="s">
        <v>5</v>
      </c>
      <c r="D14" s="2"/>
      <c r="E14" s="2"/>
      <c r="F14" s="41"/>
      <c r="G14" s="41"/>
      <c r="H14" s="59">
        <v>12</v>
      </c>
    </row>
    <row r="15" spans="2:8" ht="18.75">
      <c r="B15" s="40" t="s">
        <v>187</v>
      </c>
      <c r="C15" s="2" t="s">
        <v>205</v>
      </c>
      <c r="D15" s="2"/>
      <c r="E15" s="2"/>
      <c r="F15" s="41"/>
      <c r="G15" s="41"/>
      <c r="H15" s="59">
        <v>13</v>
      </c>
    </row>
    <row r="16" spans="2:8" ht="18.75">
      <c r="B16" s="40" t="s">
        <v>204</v>
      </c>
      <c r="C16" s="2" t="s">
        <v>206</v>
      </c>
      <c r="D16" s="2"/>
      <c r="E16" s="2"/>
      <c r="F16" s="41"/>
      <c r="G16" s="41"/>
      <c r="H16" s="59">
        <v>14</v>
      </c>
    </row>
    <row r="17" spans="2:8" ht="18.75">
      <c r="B17" s="40" t="s">
        <v>207</v>
      </c>
      <c r="C17" s="2" t="s">
        <v>208</v>
      </c>
      <c r="D17" s="3"/>
      <c r="E17" s="3"/>
      <c r="H17" s="59">
        <v>15</v>
      </c>
    </row>
    <row r="18" spans="2:8">
      <c r="B18" s="1"/>
    </row>
  </sheetData>
  <pageMargins left="0.7" right="0.7" top="0.75" bottom="0.75" header="0.3" footer="0.3"/>
  <pageSetup paperSize="9" orientation="portrait" r:id="rId1"/>
  <headerFooter>
    <oddFooter><![CDATA[&L&"Calibri,Normal"&K000000&G&C&"Calibri,Normal"&K000000Mariano Vilallonga - Feedback 360° &R&"Calibri,Normal"&K000000
Página &P]]></oddFooter>
    <firstFooter><![CDATA[&L&"Calibri,Normal"&K000000&G&C&"Calibri,Normal"&K000000Mariano Vilallonga- Feedback 360º&R&"Calibri,Normal"&K000000Página 2]]></first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B2:B4"/>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 min="2" max="2" customWidth="true" width="86.7109375" collapsed="false"/>
  </cols>
  <sheetData>
    <row r="2" spans="2:2" ht="18.75">
      <c r="B2" s="57" t="s">
        <v>194</v>
      </c>
    </row>
    <row r="4" spans="2:2" ht="18.75">
      <c r="B4" s="2"/>
    </row>
  </sheetData>
  <pageMargins left="0.7" right="0.7" top="0.75" bottom="0.75" header="0.3" footer="0.3"/>
  <pageSetup paperSize="9" scale="91" orientation="portrait" r:id="rId1"/>
  <headerFooter>
    <oddFooter><![CDATA[&L&"Calibri,Normal"&K000000&G&C&"Calibri,Normal"&K000000Mariano Vilallonga - Feedback 360°&R&"Calibri,Normal"&K000000
Página &P]]></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B2:E3"/>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s>
  <sheetData>
    <row r="2" spans="2:5" ht="18.75">
      <c r="B2" s="57" t="s">
        <v>195</v>
      </c>
      <c r="E2" s="54"/>
    </row>
    <row r="3" spans="2:5">
      <c r="B3" t="s">
        <v>222</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I163"/>
  <sheetViews>
    <sheetView showGridLines="0" view="pageBreakPreview" zoomScaleNormal="100" zoomScaleSheetLayoutView="100" workbookViewId="0"/>
  </sheetViews>
  <sheetFormatPr baseColWidth="10" defaultRowHeight="15"/>
  <cols>
    <col min="1" max="1" customWidth="true" width="3.28515625" collapsed="false"/>
    <col min="2" max="2" customWidth="true" width="8.5703125" collapsed="false"/>
    <col min="3" max="3" customWidth="true" width="6.140625" collapsed="false"/>
    <col min="4" max="4" customWidth="true" width="4.7109375" collapsed="false"/>
    <col min="5" max="5" customWidth="true" width="9.140625" collapsed="false"/>
    <col min="7" max="7" customWidth="true" width="8.28515625" collapsed="false"/>
    <col min="8" max="8" customWidth="true" width="5.28515625" collapsed="false"/>
    <col min="9" max="9" customWidth="true" width="8.140625" collapsed="false"/>
    <col min="14" max="14" bestFit="true" customWidth="true" width="11.7109375" collapsed="false"/>
  </cols>
  <sheetData>
    <row r="2" spans="2:9" ht="18.75">
      <c r="B2" s="57" t="s">
        <v>196</v>
      </c>
    </row>
    <row r="9" spans="2:9">
      <c r="B9" s="42" t="s">
        <v>6</v>
      </c>
      <c r="C9" s="42"/>
      <c r="D9" s="42"/>
      <c r="E9" s="42" t="s">
        <v>7</v>
      </c>
      <c r="F9" s="42"/>
      <c r="G9" s="42" t="s">
        <v>8</v>
      </c>
      <c r="H9" s="42"/>
      <c r="I9" s="42" t="s">
        <v>9</v>
      </c>
    </row>
    <row r="10" spans="2:9" ht="20.25" customHeight="1">
      <c r="B10" s="80">
        <f>Datos!Q3</f>
        <v>0</v>
      </c>
      <c r="C10" s="81"/>
      <c r="D10" s="81"/>
      <c r="E10" s="80">
        <f>Datos!S3</f>
        <v>0</v>
      </c>
      <c r="F10" s="81"/>
      <c r="G10" s="80">
        <f>Datos!R3</f>
        <v>0</v>
      </c>
      <c r="H10" s="81"/>
      <c r="I10" s="80">
        <f>Datos!U3</f>
        <v>3.92</v>
      </c>
    </row>
    <row r="11" spans="2:9" ht="11.25" customHeight="1"/>
    <row r="12" spans="2:9" ht="11.25" customHeight="1">
      <c r="B12" t="s">
        <v>10</v>
      </c>
      <c r="C12">
        <f>B10</f>
        <v>0</v>
      </c>
    </row>
    <row r="13" spans="2:9" ht="11.25" customHeight="1">
      <c r="B13" t="s">
        <v>11</v>
      </c>
      <c r="C13">
        <f>AVERAGE(E10,G10)</f>
        <v>0</v>
      </c>
    </row>
    <row r="14" spans="2:9" ht="11.25" customHeight="1">
      <c r="B14" t="s">
        <v>9</v>
      </c>
      <c r="C14">
        <f>I10</f>
        <v>3.92</v>
      </c>
    </row>
    <row r="15" spans="2:9" ht="11.25" customHeight="1"/>
    <row r="16" spans="2:9" ht="11.25" customHeight="1"/>
    <row r="17" spans="2:9">
      <c r="B17" s="45"/>
    </row>
    <row r="22" spans="2:9">
      <c r="B22" s="42" t="s">
        <v>6</v>
      </c>
      <c r="C22" s="42"/>
      <c r="D22" s="42"/>
      <c r="E22" s="42" t="s">
        <v>7</v>
      </c>
      <c r="F22" s="42"/>
      <c r="G22" s="42" t="s">
        <v>8</v>
      </c>
      <c r="H22" s="42"/>
      <c r="I22" s="42" t="s">
        <v>9</v>
      </c>
    </row>
    <row r="23" spans="2:9">
      <c r="B23" s="80">
        <f>Datos!Q9</f>
        <v>0</v>
      </c>
      <c r="C23" s="81"/>
      <c r="D23" s="81"/>
      <c r="E23" s="82">
        <f>Datos!S9</f>
        <v>0</v>
      </c>
      <c r="F23" s="81"/>
      <c r="G23" s="80">
        <f>Datos!R9</f>
        <v>0</v>
      </c>
      <c r="H23" s="81"/>
      <c r="I23" s="80">
        <f>Datos!U9</f>
        <v>3.89</v>
      </c>
    </row>
    <row r="24" spans="2:9" ht="11.25" customHeight="1"/>
    <row r="25" spans="2:9" ht="11.25" customHeight="1">
      <c r="B25" t="s">
        <v>10</v>
      </c>
      <c r="C25">
        <f>B23</f>
        <v>0</v>
      </c>
    </row>
    <row r="26" spans="2:9" ht="11.25" customHeight="1">
      <c r="B26" t="s">
        <v>11</v>
      </c>
      <c r="C26">
        <f>AVERAGE(E23,G23)</f>
        <v>0</v>
      </c>
    </row>
    <row r="27" spans="2:9" ht="11.25" customHeight="1">
      <c r="B27" t="s">
        <v>9</v>
      </c>
      <c r="C27">
        <f>I23</f>
        <v>3.89</v>
      </c>
    </row>
    <row r="28" spans="2:9" ht="11.25" customHeight="1"/>
    <row r="29" spans="2:9" ht="11.25" customHeight="1"/>
    <row r="35" spans="2:9">
      <c r="B35" s="42" t="s">
        <v>6</v>
      </c>
      <c r="C35" s="42"/>
      <c r="D35" s="42"/>
      <c r="E35" s="42" t="s">
        <v>7</v>
      </c>
      <c r="F35" s="42"/>
      <c r="G35" s="42" t="s">
        <v>8</v>
      </c>
      <c r="H35" s="42"/>
      <c r="I35" s="42" t="s">
        <v>9</v>
      </c>
    </row>
    <row r="36" spans="2:9">
      <c r="B36" s="80">
        <f>Datos!Q15</f>
        <v>0</v>
      </c>
      <c r="C36" s="81"/>
      <c r="D36" s="81"/>
      <c r="E36" s="80">
        <f>Datos!S15</f>
        <v>0</v>
      </c>
      <c r="F36" s="81"/>
      <c r="G36" s="80">
        <f>Datos!R15</f>
        <v>0</v>
      </c>
      <c r="H36" s="81"/>
      <c r="I36" s="80">
        <f>Datos!U15</f>
        <v>3.82</v>
      </c>
    </row>
    <row r="37" spans="2:9" ht="11.25" customHeight="1"/>
    <row r="38" spans="2:9" ht="11.25" customHeight="1">
      <c r="B38" t="s">
        <v>10</v>
      </c>
      <c r="C38">
        <f>B36</f>
        <v>0</v>
      </c>
    </row>
    <row r="39" spans="2:9" ht="11.25" customHeight="1">
      <c r="B39" t="s">
        <v>11</v>
      </c>
      <c r="C39">
        <f>AVERAGE(E36,G36)</f>
        <v>0</v>
      </c>
    </row>
    <row r="40" spans="2:9" ht="11.25" customHeight="1">
      <c r="B40" t="s">
        <v>9</v>
      </c>
      <c r="C40">
        <f>I36</f>
        <v>3.82</v>
      </c>
    </row>
    <row r="41" spans="2:9" ht="11.25" customHeight="1"/>
    <row r="42" spans="2:9" ht="11.25" customHeight="1"/>
    <row r="48" spans="2:9">
      <c r="B48" s="42" t="s">
        <v>6</v>
      </c>
      <c r="C48" s="42"/>
      <c r="D48" s="42"/>
      <c r="E48" s="42" t="s">
        <v>7</v>
      </c>
      <c r="F48" s="42"/>
      <c r="G48" s="42" t="s">
        <v>8</v>
      </c>
      <c r="H48" s="42"/>
      <c r="I48" s="42" t="s">
        <v>9</v>
      </c>
    </row>
    <row r="49" spans="2:9">
      <c r="B49" s="80">
        <f>Datos!Q21</f>
        <v>0</v>
      </c>
      <c r="C49" s="81"/>
      <c r="D49" s="81"/>
      <c r="E49" s="80">
        <f>Datos!S21</f>
        <v>0</v>
      </c>
      <c r="F49" s="81"/>
      <c r="G49" s="80">
        <f>Datos!R21</f>
        <v>0</v>
      </c>
      <c r="H49" s="81"/>
      <c r="I49" s="80">
        <f>Datos!U21</f>
        <v>3.85</v>
      </c>
    </row>
    <row r="50" spans="2:9">
      <c r="B50" s="43"/>
      <c r="C50" s="44"/>
      <c r="D50" s="44"/>
      <c r="E50" s="43"/>
      <c r="F50" s="44"/>
      <c r="G50" s="43"/>
      <c r="H50" s="44"/>
      <c r="I50" s="43"/>
    </row>
    <row r="51" spans="2:9" ht="11.25" customHeight="1">
      <c r="B51" t="s">
        <v>10</v>
      </c>
      <c r="C51">
        <f>B49</f>
        <v>0</v>
      </c>
    </row>
    <row r="52" spans="2:9" ht="11.25" customHeight="1">
      <c r="B52" t="s">
        <v>11</v>
      </c>
      <c r="C52">
        <f>AVERAGE(E49,G49)</f>
        <v>0</v>
      </c>
    </row>
    <row r="53" spans="2:9" ht="11.25" customHeight="1">
      <c r="B53" t="s">
        <v>9</v>
      </c>
      <c r="C53">
        <f>I49</f>
        <v>3.85</v>
      </c>
    </row>
    <row r="54" spans="2:9" ht="11.25" customHeight="1"/>
    <row r="55" spans="2:9" ht="11.25" customHeight="1"/>
    <row r="63" spans="2:9">
      <c r="B63" s="42" t="s">
        <v>6</v>
      </c>
      <c r="C63" s="42"/>
      <c r="D63" s="42"/>
      <c r="E63" s="42" t="s">
        <v>7</v>
      </c>
      <c r="F63" s="42"/>
      <c r="G63" s="42" t="s">
        <v>8</v>
      </c>
      <c r="H63" s="42"/>
      <c r="I63" s="42" t="s">
        <v>9</v>
      </c>
    </row>
    <row r="64" spans="2:9">
      <c r="B64" s="80">
        <f>Datos!Q27</f>
        <v>0</v>
      </c>
      <c r="C64" s="81"/>
      <c r="D64" s="81"/>
      <c r="E64" s="80">
        <f>Datos!S27</f>
        <v>0</v>
      </c>
      <c r="F64" s="81"/>
      <c r="G64" s="80">
        <f>Datos!R27</f>
        <v>0</v>
      </c>
      <c r="H64" s="81"/>
      <c r="I64" s="80">
        <f>Datos!U27</f>
        <v>3.86</v>
      </c>
    </row>
    <row r="65" spans="2:9" ht="11.25" customHeight="1"/>
    <row r="66" spans="2:9" ht="11.25" customHeight="1">
      <c r="B66" t="s">
        <v>10</v>
      </c>
      <c r="C66">
        <f>B64</f>
        <v>0</v>
      </c>
    </row>
    <row r="67" spans="2:9" ht="11.25" customHeight="1">
      <c r="B67" t="s">
        <v>11</v>
      </c>
      <c r="C67">
        <f>AVERAGE(E64,G64)</f>
        <v>0</v>
      </c>
    </row>
    <row r="68" spans="2:9" ht="11.25" customHeight="1">
      <c r="B68" t="s">
        <v>9</v>
      </c>
      <c r="C68">
        <f>I64</f>
        <v>3.86</v>
      </c>
    </row>
    <row r="69" spans="2:9" ht="11.25" customHeight="1"/>
    <row r="70" spans="2:9" ht="11.25" customHeight="1"/>
    <row r="71" spans="2:9" ht="11.25" customHeight="1"/>
    <row r="76" spans="2:9">
      <c r="B76" s="42" t="s">
        <v>6</v>
      </c>
      <c r="C76" s="42"/>
      <c r="D76" s="42"/>
      <c r="E76" s="42" t="s">
        <v>7</v>
      </c>
      <c r="F76" s="42"/>
      <c r="G76" s="42" t="s">
        <v>8</v>
      </c>
      <c r="H76" s="42"/>
      <c r="I76" s="42" t="s">
        <v>9</v>
      </c>
    </row>
    <row r="77" spans="2:9">
      <c r="B77" s="80">
        <f>Datos!Q33</f>
        <v>0</v>
      </c>
      <c r="C77" s="81"/>
      <c r="D77" s="81"/>
      <c r="E77" s="80">
        <f>Datos!S33</f>
        <v>0</v>
      </c>
      <c r="F77" s="81"/>
      <c r="G77" s="80">
        <f>Datos!R33</f>
        <v>0</v>
      </c>
      <c r="H77" s="81"/>
      <c r="I77" s="80">
        <f>Datos!U33</f>
        <v>3.92</v>
      </c>
    </row>
    <row r="78" spans="2:9" ht="11.25" customHeight="1"/>
    <row r="79" spans="2:9" ht="11.25" customHeight="1">
      <c r="B79" t="s">
        <v>10</v>
      </c>
      <c r="C79">
        <f>B77</f>
        <v>0</v>
      </c>
    </row>
    <row r="80" spans="2:9" ht="11.25" customHeight="1">
      <c r="B80" t="s">
        <v>11</v>
      </c>
      <c r="C80">
        <f>AVERAGE(E77,G77)</f>
        <v>0</v>
      </c>
    </row>
    <row r="81" spans="2:9" ht="11.25" customHeight="1">
      <c r="B81" t="s">
        <v>9</v>
      </c>
      <c r="C81">
        <f>I77</f>
        <v>3.92</v>
      </c>
    </row>
    <row r="82" spans="2:9" ht="11.25" customHeight="1"/>
    <row r="83" spans="2:9" ht="11.25" customHeight="1"/>
    <row r="90" spans="2:9">
      <c r="B90" s="42" t="s">
        <v>6</v>
      </c>
      <c r="C90" s="42"/>
      <c r="D90" s="42"/>
      <c r="E90" s="42" t="s">
        <v>7</v>
      </c>
      <c r="F90" s="42"/>
      <c r="G90" s="42" t="s">
        <v>8</v>
      </c>
      <c r="H90" s="42"/>
      <c r="I90" s="42" t="s">
        <v>9</v>
      </c>
    </row>
    <row r="91" spans="2:9">
      <c r="B91" s="80">
        <f>Datos!Q39</f>
        <v>0</v>
      </c>
      <c r="C91" s="81"/>
      <c r="D91" s="81"/>
      <c r="E91" s="80">
        <f>Datos!S39</f>
        <v>0</v>
      </c>
      <c r="F91" s="81"/>
      <c r="G91" s="80">
        <f>Datos!R39</f>
        <v>0</v>
      </c>
      <c r="H91" s="81"/>
      <c r="I91" s="80">
        <f>Datos!U39</f>
        <v>3.93</v>
      </c>
    </row>
    <row r="92" spans="2:9" ht="11.25" customHeight="1"/>
    <row r="93" spans="2:9" ht="11.25" customHeight="1">
      <c r="B93" t="s">
        <v>10</v>
      </c>
      <c r="C93">
        <f>B91</f>
        <v>0</v>
      </c>
    </row>
    <row r="94" spans="2:9" ht="11.25" customHeight="1">
      <c r="B94" t="s">
        <v>11</v>
      </c>
      <c r="C94">
        <f>AVERAGE(E91,G91)</f>
        <v>0</v>
      </c>
    </row>
    <row r="95" spans="2:9" ht="11.25" customHeight="1">
      <c r="B95" t="s">
        <v>9</v>
      </c>
      <c r="C95">
        <f>I91</f>
        <v>3.93</v>
      </c>
    </row>
    <row r="96" spans="2:9" ht="11.25" customHeight="1"/>
    <row r="97" spans="2:9" ht="11.25" customHeight="1"/>
    <row r="102" spans="2:9">
      <c r="B102" s="42" t="s">
        <v>6</v>
      </c>
      <c r="C102" s="42"/>
      <c r="D102" s="42"/>
      <c r="E102" s="42" t="s">
        <v>7</v>
      </c>
      <c r="F102" s="42"/>
      <c r="G102" s="42" t="s">
        <v>8</v>
      </c>
      <c r="H102" s="42"/>
      <c r="I102" s="42" t="s">
        <v>9</v>
      </c>
    </row>
    <row r="103" spans="2:9">
      <c r="B103" s="80">
        <f>Datos!Q45</f>
        <v>0</v>
      </c>
      <c r="C103" s="81"/>
      <c r="D103" s="81"/>
      <c r="E103" s="80">
        <f>Datos!S45</f>
        <v>0</v>
      </c>
      <c r="F103" s="81"/>
      <c r="G103" s="80">
        <f>Datos!R45</f>
        <v>0</v>
      </c>
      <c r="H103" s="81"/>
      <c r="I103" s="80">
        <f>Datos!U45</f>
        <v>3.79</v>
      </c>
    </row>
    <row r="104" spans="2:9" ht="11.25" customHeight="1"/>
    <row r="105" spans="2:9" ht="11.25" customHeight="1">
      <c r="B105" t="s">
        <v>10</v>
      </c>
      <c r="C105">
        <f>B103</f>
        <v>0</v>
      </c>
    </row>
    <row r="106" spans="2:9" ht="11.25" customHeight="1">
      <c r="B106" t="s">
        <v>11</v>
      </c>
      <c r="C106">
        <f>AVERAGE(E103,G103)</f>
        <v>0</v>
      </c>
    </row>
    <row r="107" spans="2:9" ht="11.25" customHeight="1">
      <c r="B107" t="s">
        <v>9</v>
      </c>
      <c r="C107">
        <f>I103</f>
        <v>3.79</v>
      </c>
    </row>
    <row r="108" spans="2:9" ht="11.25" customHeight="1"/>
    <row r="109" spans="2:9" ht="11.25" customHeight="1"/>
    <row r="110" spans="2:9" ht="15.4" customHeight="1"/>
    <row r="111" spans="2:9" ht="39" customHeight="1"/>
    <row r="118" spans="2:9">
      <c r="B118" s="42" t="s">
        <v>6</v>
      </c>
      <c r="C118" s="42"/>
      <c r="D118" s="42"/>
      <c r="E118" s="42" t="s">
        <v>7</v>
      </c>
      <c r="F118" s="42"/>
      <c r="G118" s="42" t="s">
        <v>8</v>
      </c>
      <c r="H118" s="42"/>
      <c r="I118" s="42" t="s">
        <v>9</v>
      </c>
    </row>
    <row r="119" spans="2:9">
      <c r="B119" s="80">
        <f>Datos!Q51</f>
        <v>0</v>
      </c>
      <c r="C119" s="81"/>
      <c r="D119" s="81"/>
      <c r="E119" s="80">
        <f>Datos!S51</f>
        <v>0</v>
      </c>
      <c r="F119" s="81"/>
      <c r="G119" s="80">
        <f>Datos!R51</f>
        <v>0</v>
      </c>
      <c r="H119" s="81"/>
      <c r="I119" s="80">
        <f>Datos!U51</f>
        <v>3.98</v>
      </c>
    </row>
    <row r="120" spans="2:9" ht="11.25" customHeight="1"/>
    <row r="121" spans="2:9" ht="11.25" customHeight="1">
      <c r="B121" t="s">
        <v>10</v>
      </c>
      <c r="C121">
        <f>B119</f>
        <v>0</v>
      </c>
    </row>
    <row r="122" spans="2:9" ht="11.25" customHeight="1">
      <c r="B122" t="s">
        <v>11</v>
      </c>
      <c r="C122">
        <f>AVERAGE(E119,G119)</f>
        <v>0</v>
      </c>
    </row>
    <row r="123" spans="2:9" ht="11.25" customHeight="1">
      <c r="B123" t="s">
        <v>9</v>
      </c>
      <c r="C123">
        <f>I119</f>
        <v>3.98</v>
      </c>
    </row>
    <row r="124" spans="2:9" ht="11.25" customHeight="1"/>
    <row r="125" spans="2:9" ht="11.25" customHeight="1"/>
    <row r="131" spans="2:9">
      <c r="B131" s="42" t="s">
        <v>6</v>
      </c>
      <c r="C131" s="42"/>
      <c r="D131" s="42"/>
      <c r="E131" s="42" t="s">
        <v>7</v>
      </c>
      <c r="F131" s="42"/>
      <c r="G131" s="42" t="s">
        <v>8</v>
      </c>
      <c r="H131" s="42"/>
      <c r="I131" s="42" t="s">
        <v>9</v>
      </c>
    </row>
    <row r="132" spans="2:9">
      <c r="B132" s="80">
        <f>Datos!Q57</f>
        <v>0</v>
      </c>
      <c r="C132" s="81"/>
      <c r="D132" s="81"/>
      <c r="E132" s="80">
        <f>Datos!S57</f>
        <v>0</v>
      </c>
      <c r="F132" s="81"/>
      <c r="G132" s="80">
        <f>Datos!R57</f>
        <v>0</v>
      </c>
      <c r="H132" s="81"/>
      <c r="I132" s="80">
        <f>Datos!U57</f>
        <v>3.86</v>
      </c>
    </row>
    <row r="133" spans="2:9" ht="11.25" customHeight="1"/>
    <row r="134" spans="2:9" ht="11.25" customHeight="1">
      <c r="B134" t="s">
        <v>10</v>
      </c>
      <c r="C134">
        <f>B132</f>
        <v>0</v>
      </c>
    </row>
    <row r="135" spans="2:9" ht="11.25" customHeight="1">
      <c r="B135" t="s">
        <v>11</v>
      </c>
      <c r="C135">
        <f>AVERAGE(E132,G132)</f>
        <v>0</v>
      </c>
    </row>
    <row r="136" spans="2:9" ht="11.25" customHeight="1">
      <c r="B136" t="s">
        <v>9</v>
      </c>
      <c r="C136">
        <f>I132</f>
        <v>3.86</v>
      </c>
    </row>
    <row r="137" spans="2:9" ht="11.25" customHeight="1"/>
    <row r="138" spans="2:9" ht="11.25" customHeight="1"/>
    <row r="143" spans="2:9">
      <c r="B143" s="42" t="s">
        <v>6</v>
      </c>
      <c r="C143" s="42"/>
      <c r="D143" s="42"/>
      <c r="E143" s="42" t="s">
        <v>7</v>
      </c>
      <c r="F143" s="42"/>
      <c r="G143" s="42" t="s">
        <v>8</v>
      </c>
      <c r="H143" s="42"/>
      <c r="I143" s="42" t="s">
        <v>9</v>
      </c>
    </row>
    <row r="144" spans="2:9">
      <c r="B144" s="80">
        <f>Datos!Q63</f>
        <v>0</v>
      </c>
      <c r="C144" s="81"/>
      <c r="D144" s="81"/>
      <c r="E144" s="80">
        <f>Datos!S63</f>
        <v>0</v>
      </c>
      <c r="F144" s="81"/>
      <c r="G144" s="80">
        <f>Datos!R63</f>
        <v>0</v>
      </c>
      <c r="H144" s="81"/>
      <c r="I144" s="80">
        <f>Datos!U63</f>
        <v>3.82</v>
      </c>
    </row>
    <row r="145" spans="2:9" ht="11.25" customHeight="1"/>
    <row r="146" spans="2:9" ht="11.25" customHeight="1">
      <c r="B146" t="s">
        <v>10</v>
      </c>
      <c r="C146">
        <f>B144</f>
        <v>0</v>
      </c>
    </row>
    <row r="147" spans="2:9" ht="11.25" customHeight="1">
      <c r="B147" t="s">
        <v>11</v>
      </c>
      <c r="C147">
        <f>AVERAGE(E144,G144)</f>
        <v>0</v>
      </c>
    </row>
    <row r="148" spans="2:9" ht="11.25" customHeight="1">
      <c r="B148" t="s">
        <v>9</v>
      </c>
      <c r="C148">
        <f>I144</f>
        <v>3.82</v>
      </c>
    </row>
    <row r="149" spans="2:9" ht="11.25" customHeight="1"/>
    <row r="150" spans="2:9" ht="11.25" customHeight="1"/>
    <row r="156" spans="2:9">
      <c r="B156" s="42" t="s">
        <v>6</v>
      </c>
      <c r="C156" s="42"/>
      <c r="D156" s="42"/>
      <c r="E156" s="42" t="s">
        <v>7</v>
      </c>
      <c r="F156" s="42"/>
      <c r="G156" s="42" t="s">
        <v>8</v>
      </c>
      <c r="H156" s="42"/>
      <c r="I156" s="42" t="s">
        <v>9</v>
      </c>
    </row>
    <row r="157" spans="2:9">
      <c r="B157" s="80">
        <f>Datos!Q69</f>
        <v>0</v>
      </c>
      <c r="C157" s="81"/>
      <c r="D157" s="81"/>
      <c r="E157" s="80">
        <f>Datos!S69</f>
        <v>0</v>
      </c>
      <c r="F157" s="81"/>
      <c r="G157" s="80">
        <f>Datos!R69</f>
        <v>0</v>
      </c>
      <c r="H157" s="81"/>
      <c r="I157" s="80">
        <f>Datos!U69</f>
        <v>3.81</v>
      </c>
    </row>
    <row r="158" spans="2:9" ht="11.25" customHeight="1"/>
    <row r="159" spans="2:9" ht="11.25" customHeight="1">
      <c r="B159" t="s">
        <v>10</v>
      </c>
      <c r="C159">
        <f>B157</f>
        <v>0</v>
      </c>
    </row>
    <row r="160" spans="2:9" ht="11.25" customHeight="1">
      <c r="B160" t="s">
        <v>11</v>
      </c>
      <c r="C160">
        <f>AVERAGE(E157,G157)</f>
        <v>0</v>
      </c>
    </row>
    <row r="161" spans="2:3" ht="11.25" customHeight="1">
      <c r="B161" t="s">
        <v>9</v>
      </c>
      <c r="C161">
        <f>I157</f>
        <v>3.81</v>
      </c>
    </row>
    <row r="162" spans="2:3" ht="11.25" customHeight="1"/>
    <row r="163" spans="2:3" ht="11.25" customHeight="1"/>
  </sheetData>
  <pageMargins left="0.70866141732283472" right="0.70866141732283472" top="0.74803149606299213" bottom="0.74803149606299213" header="0.31496062992125984" footer="0.31496062992125984"/>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B2:E21"/>
  <sheetViews>
    <sheetView showGridLines="0" view="pageBreakPreview" zoomScaleNormal="80" zoomScaleSheetLayoutView="100" workbookViewId="0"/>
  </sheetViews>
  <sheetFormatPr baseColWidth="10" defaultRowHeight="15"/>
  <cols>
    <col min="1" max="1" customWidth="true" width="3.28515625" collapsed="false"/>
    <col min="2" max="4" customWidth="true" width="17.42578125" collapsed="false"/>
    <col min="5" max="5" customWidth="true" width="22.85546875" collapsed="false"/>
  </cols>
  <sheetData>
    <row r="2" spans="2:5" ht="18.75">
      <c r="B2" s="57" t="s">
        <v>197</v>
      </c>
    </row>
    <row r="4" spans="2:5" ht="18.75">
      <c r="B4" s="2"/>
    </row>
    <row r="5" spans="2:5" ht="18.75">
      <c r="B5" s="2"/>
    </row>
    <row r="6" spans="2:5" ht="18.75">
      <c r="B6" s="2"/>
    </row>
    <row r="7" spans="2:5" ht="18.75">
      <c r="B7" s="2"/>
    </row>
    <row r="9" spans="2:5">
      <c r="B9" s="3" t="s">
        <v>16</v>
      </c>
      <c r="C9" s="3" t="s">
        <v>10</v>
      </c>
      <c r="D9" s="3" t="s">
        <v>11</v>
      </c>
    </row>
    <row r="10" spans="2:5">
      <c r="B10" s="78" t="str">
        <f>Datos!B3</f>
        <v>Visión estratégica de negocio</v>
      </c>
      <c r="C10" s="83">
        <f>Datos!Q3</f>
        <v>0</v>
      </c>
      <c r="D10" s="83">
        <f>Datos!T3</f>
        <v>0</v>
      </c>
      <c r="E10" s="83"/>
    </row>
    <row r="11" spans="2:5">
      <c r="B11" s="78" t="str">
        <f>Datos!B9</f>
        <v>Orientación al cliente</v>
      </c>
      <c r="C11" s="83">
        <f>Datos!Q9</f>
        <v>0</v>
      </c>
      <c r="D11" s="83">
        <f>Datos!T9</f>
        <v>0</v>
      </c>
      <c r="E11" s="83"/>
    </row>
    <row r="12" spans="2:5">
      <c r="B12" s="78" t="str">
        <f>Datos!B15</f>
        <v>Networking</v>
      </c>
      <c r="C12" s="83">
        <f>Datos!Q15</f>
        <v>0</v>
      </c>
      <c r="D12" s="83">
        <f>Datos!T15</f>
        <v>0</v>
      </c>
      <c r="E12" s="83"/>
    </row>
    <row r="13" spans="2:5">
      <c r="B13" s="78" t="str">
        <f>Datos!B21</f>
        <v>Negociación</v>
      </c>
      <c r="C13" s="83">
        <f>Datos!Q21</f>
        <v>0</v>
      </c>
      <c r="D13" s="83">
        <f>Datos!T21</f>
        <v>0</v>
      </c>
      <c r="E13" s="83"/>
    </row>
    <row r="14" spans="2:5">
      <c r="B14" s="78" t="str">
        <f>Datos!B27</f>
        <v>Comunicación</v>
      </c>
      <c r="C14" s="83">
        <f>Datos!Q27</f>
        <v>0</v>
      </c>
      <c r="D14" s="83">
        <f>Datos!T27</f>
        <v>0</v>
      </c>
      <c r="E14" s="83"/>
    </row>
    <row r="15" spans="2:5">
      <c r="B15" s="78" t="str">
        <f>Datos!B33</f>
        <v>Delegación</v>
      </c>
      <c r="C15" s="83">
        <f>Datos!Q33</f>
        <v>0</v>
      </c>
      <c r="D15" s="83">
        <f>Datos!T33</f>
        <v>0</v>
      </c>
      <c r="E15" s="83"/>
    </row>
    <row r="16" spans="2:5">
      <c r="B16" s="78" t="str">
        <f>Datos!B39</f>
        <v>Dirección de equipos</v>
      </c>
      <c r="C16" s="83">
        <f>Datos!Q39</f>
        <v>0</v>
      </c>
      <c r="D16" s="83">
        <f>Datos!T39</f>
        <v>0</v>
      </c>
      <c r="E16" s="83"/>
    </row>
    <row r="17" spans="2:5">
      <c r="B17" s="78" t="str">
        <f>Datos!B45</f>
        <v>Gestión del talento</v>
      </c>
      <c r="C17" s="83">
        <f>Datos!Q45</f>
        <v>0</v>
      </c>
      <c r="D17" s="83">
        <f>Datos!T45</f>
        <v>0</v>
      </c>
      <c r="E17" s="83"/>
    </row>
    <row r="18" spans="2:5">
      <c r="B18" s="78" t="str">
        <f>Datos!B51</f>
        <v>Análisis de problemas y Toma de decisiones</v>
      </c>
      <c r="C18" s="83">
        <f>Datos!Q51</f>
        <v>0</v>
      </c>
      <c r="D18" s="83">
        <f>Datos!T51</f>
        <v>0</v>
      </c>
      <c r="E18" s="83"/>
    </row>
    <row r="19" spans="2:5">
      <c r="B19" s="78" t="str">
        <f>Datos!B57</f>
        <v>Gestion del tiempo y Priorización</v>
      </c>
      <c r="C19" s="83">
        <f>Datos!Q57</f>
        <v>0</v>
      </c>
      <c r="D19" s="83">
        <f>Datos!T57</f>
        <v>0</v>
      </c>
      <c r="E19" s="83"/>
    </row>
    <row r="20" spans="2:5">
      <c r="B20" s="78" t="str">
        <f>Datos!B63</f>
        <v>Gestión del cambio y Aprendizaje</v>
      </c>
      <c r="C20" s="83">
        <f>Datos!Q63</f>
        <v>0</v>
      </c>
      <c r="D20" s="83">
        <f>Datos!T63</f>
        <v>0</v>
      </c>
      <c r="E20" s="83"/>
    </row>
    <row r="21" spans="2:5">
      <c r="B21" s="78" t="str">
        <f>Datos!B69</f>
        <v>Autocontrol y Equilibrio</v>
      </c>
      <c r="C21" s="83">
        <f>Datos!Q69</f>
        <v>0</v>
      </c>
      <c r="D21" s="83">
        <f>Datos!T69</f>
        <v>0</v>
      </c>
      <c r="E21" s="83"/>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B2:D21"/>
  <sheetViews>
    <sheetView showGridLines="0" view="pageBreakPreview" zoomScaleNormal="100" zoomScaleSheetLayoutView="100" workbookViewId="0">
      <selection activeCell="I37" sqref="I37"/>
    </sheetView>
  </sheetViews>
  <sheetFormatPr baseColWidth="10" defaultRowHeight="15"/>
  <cols>
    <col min="1" max="1" customWidth="true" width="3.28515625" collapsed="false"/>
    <col min="2" max="3" customWidth="true" width="17.42578125" collapsed="false"/>
    <col min="4" max="4" customWidth="true" style="53" width="17.42578125" collapsed="false"/>
    <col min="5" max="5" customWidth="true" width="22.85546875" collapsed="false"/>
  </cols>
  <sheetData>
    <row r="2" spans="2:4" ht="18.75">
      <c r="B2" s="57" t="s">
        <v>203</v>
      </c>
    </row>
    <row r="4" spans="2:4" ht="18.75">
      <c r="B4" s="2"/>
    </row>
    <row r="5" spans="2:4" ht="18.75">
      <c r="B5" s="2"/>
    </row>
    <row r="6" spans="2:4" ht="18.75">
      <c r="B6" s="2"/>
    </row>
    <row r="7" spans="2:4" ht="18.75">
      <c r="B7" s="2"/>
    </row>
    <row r="9" spans="2:4">
      <c r="B9" s="84" t="s">
        <v>16</v>
      </c>
      <c r="C9" s="84" t="s">
        <v>9</v>
      </c>
      <c r="D9" s="85" t="s">
        <v>11</v>
      </c>
    </row>
    <row r="10" spans="2:4">
      <c r="B10" t="str">
        <f>Datos!B3</f>
        <v>Visión estratégica de negocio</v>
      </c>
      <c r="C10" s="83">
        <f>Datos!U3</f>
        <v>3.92</v>
      </c>
      <c r="D10" s="83">
        <f>Datos!T3</f>
        <v>0</v>
      </c>
    </row>
    <row r="11" spans="2:4">
      <c r="B11" t="str">
        <f>Datos!B9</f>
        <v>Orientación al cliente</v>
      </c>
      <c r="C11" s="83">
        <f>Datos!U9</f>
        <v>3.89</v>
      </c>
      <c r="D11" s="83">
        <f>Datos!T9</f>
        <v>0</v>
      </c>
    </row>
    <row r="12" spans="2:4">
      <c r="B12" s="78" t="str">
        <f>Datos!B15</f>
        <v>Networking</v>
      </c>
      <c r="C12" s="83">
        <f>Datos!U15</f>
        <v>3.82</v>
      </c>
      <c r="D12" s="83">
        <f>Datos!T15</f>
        <v>0</v>
      </c>
    </row>
    <row r="13" spans="2:4">
      <c r="B13" s="78" t="str">
        <f>Datos!B21</f>
        <v>Negociación</v>
      </c>
      <c r="C13" s="83">
        <f>Datos!U21</f>
        <v>3.85</v>
      </c>
      <c r="D13" s="83">
        <f>Datos!T21</f>
        <v>0</v>
      </c>
    </row>
    <row r="14" spans="2:4">
      <c r="B14" s="78" t="str">
        <f>Datos!B27</f>
        <v>Comunicación</v>
      </c>
      <c r="C14" s="83">
        <f>Datos!U27</f>
        <v>3.86</v>
      </c>
      <c r="D14" s="83">
        <f>Datos!T27</f>
        <v>0</v>
      </c>
    </row>
    <row r="15" spans="2:4">
      <c r="B15" s="78" t="str">
        <f>Datos!B33</f>
        <v>Delegación</v>
      </c>
      <c r="C15" s="83">
        <f>Datos!U33</f>
        <v>3.92</v>
      </c>
      <c r="D15" s="83">
        <f>Datos!T33</f>
        <v>0</v>
      </c>
    </row>
    <row r="16" spans="2:4">
      <c r="B16" s="78" t="str">
        <f>Datos!B39</f>
        <v>Dirección de equipos</v>
      </c>
      <c r="C16" s="83">
        <f>Datos!U39</f>
        <v>3.93</v>
      </c>
      <c r="D16" s="83">
        <f>Datos!T39</f>
        <v>0</v>
      </c>
    </row>
    <row r="17" spans="2:4">
      <c r="B17" s="78" t="str">
        <f>Datos!B45</f>
        <v>Gestión del talento</v>
      </c>
      <c r="C17" s="83">
        <f>Datos!U45</f>
        <v>3.79</v>
      </c>
      <c r="D17" s="83">
        <f>Datos!T45</f>
        <v>0</v>
      </c>
    </row>
    <row r="18" spans="2:4">
      <c r="B18" s="78" t="str">
        <f>Datos!B51</f>
        <v>Análisis de problemas y Toma de decisiones</v>
      </c>
      <c r="C18" s="83">
        <f>Datos!U51</f>
        <v>3.98</v>
      </c>
      <c r="D18" s="83">
        <f>Datos!T51</f>
        <v>0</v>
      </c>
    </row>
    <row r="19" spans="2:4">
      <c r="B19" s="78" t="str">
        <f>Datos!B57</f>
        <v>Gestion del tiempo y Priorización</v>
      </c>
      <c r="C19" s="83">
        <f>Datos!U57</f>
        <v>3.86</v>
      </c>
      <c r="D19" s="83">
        <f>Datos!T57</f>
        <v>0</v>
      </c>
    </row>
    <row r="20" spans="2:4">
      <c r="B20" s="78" t="str">
        <f>Datos!B63</f>
        <v>Gestión del cambio y Aprendizaje</v>
      </c>
      <c r="C20" s="83">
        <f>Datos!U63</f>
        <v>3.82</v>
      </c>
      <c r="D20" s="83">
        <f>Datos!T63</f>
        <v>0</v>
      </c>
    </row>
    <row r="21" spans="2:4">
      <c r="B21" s="78" t="str">
        <f>Datos!B69</f>
        <v>Autocontrol y Equilibrio</v>
      </c>
      <c r="C21" s="83">
        <f>Datos!U69</f>
        <v>3.81</v>
      </c>
      <c r="D21" s="83">
        <f>Datos!T69</f>
        <v>0</v>
      </c>
    </row>
  </sheetData>
  <pageMargins left="0.7" right="0.7" top="0.75" bottom="0.75" header="0.3" footer="0.3"/>
  <pageSetup paperSize="9" scale="99" orientation="portrait" r:id="rId1"/>
  <headerFooter>
    <oddFooter><![CDATA[&L&"Calibri,Normal"&K000000&G&C&"Calibri,Normal"&K000000Mariano Vilallonga - Feedback 360°&R&"Calibri,Normal"&K000000
Página &P]]></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2:I21"/>
  <sheetViews>
    <sheetView showGridLines="0" view="pageBreakPreview" zoomScaleNormal="80" zoomScaleSheetLayoutView="100" workbookViewId="0">
      <selection activeCell="B2" sqref="B2"/>
    </sheetView>
  </sheetViews>
  <sheetFormatPr baseColWidth="10" defaultRowHeight="15"/>
  <cols>
    <col min="1" max="1" customWidth="true" width="3.28515625" collapsed="false"/>
    <col min="8" max="8" customWidth="true" width="12.7109375" collapsed="false"/>
  </cols>
  <sheetData>
    <row r="2" spans="1:9" ht="18.75">
      <c r="B2" s="57" t="s">
        <v>199</v>
      </c>
    </row>
    <row r="3" spans="1:9">
      <c r="C3" s="3"/>
    </row>
    <row r="6" spans="1:9" ht="21">
      <c r="A6" s="67" t="s">
        <v>223</v>
      </c>
      <c r="B6" s="2" t="s">
        <v>149</v>
      </c>
    </row>
    <row r="7" spans="1:9">
      <c r="B7" t="s">
        <v>19</v>
      </c>
    </row>
    <row r="8" spans="1:9">
      <c r="B8" t="s">
        <v>88</v>
      </c>
    </row>
    <row r="9" spans="1:9">
      <c r="B9" t="s">
        <v>67</v>
      </c>
      <c r="I9" s="45"/>
    </row>
    <row r="12" spans="1:9" ht="21">
      <c r="A12" s="67" t="s">
        <v>223</v>
      </c>
      <c r="B12" s="2" t="s">
        <v>133</v>
      </c>
    </row>
    <row r="13" spans="1:9">
      <c r="B13" t="s">
        <v>21</v>
      </c>
    </row>
    <row r="14" spans="1:9">
      <c r="B14" t="s">
        <v>217</v>
      </c>
    </row>
    <row r="15" spans="1:9">
      <c r="B15" t="s">
        <v>69</v>
      </c>
    </row>
    <row r="18" spans="1:2" ht="21">
      <c r="A18" s="67" t="s">
        <v>223</v>
      </c>
      <c r="B18" s="2" t="s">
        <v>135</v>
      </c>
    </row>
    <row r="19" spans="1:2">
      <c r="B19" t="s">
        <v>23</v>
      </c>
    </row>
    <row r="20" spans="1:2">
      <c r="B20" t="s">
        <v>91</v>
      </c>
    </row>
    <row r="21" spans="1:2">
      <c r="B21" t="s">
        <v>71</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I21"/>
  <sheetViews>
    <sheetView showGridLines="0" view="pageBreakPreview" zoomScaleNormal="85" zoomScaleSheetLayoutView="100" workbookViewId="0"/>
  </sheetViews>
  <sheetFormatPr baseColWidth="10" defaultRowHeight="15"/>
  <cols>
    <col min="1" max="1" customWidth="true" width="3.28515625" collapsed="false"/>
    <col min="8" max="8" customWidth="true" width="14.140625" collapsed="false"/>
  </cols>
  <sheetData>
    <row r="2" spans="1:9" ht="18.75">
      <c r="B2" s="57" t="s">
        <v>198</v>
      </c>
    </row>
    <row r="6" spans="1:9" ht="21">
      <c r="A6" s="67" t="s">
        <v>223</v>
      </c>
      <c r="B6" s="2" t="s">
        <v>149</v>
      </c>
    </row>
    <row r="7" spans="1:9">
      <c r="B7" t="s">
        <v>226</v>
      </c>
    </row>
    <row r="8" spans="1:9">
      <c r="B8" t="s">
        <v>227</v>
      </c>
    </row>
    <row r="9" spans="1:9">
      <c r="B9" t="s">
        <v>228</v>
      </c>
      <c r="I9" s="45"/>
    </row>
    <row r="12" spans="1:9" ht="21">
      <c r="A12" s="67" t="s">
        <v>223</v>
      </c>
      <c r="B12" s="2" t="s">
        <v>133</v>
      </c>
    </row>
    <row r="13" spans="1:9">
      <c r="B13" t="s">
        <v>231</v>
      </c>
    </row>
    <row r="14" spans="1:9">
      <c r="B14" t="s">
        <v>232</v>
      </c>
    </row>
    <row r="15" spans="1:9">
      <c r="B15" t="s">
        <v>233</v>
      </c>
    </row>
    <row r="18" spans="1:2" ht="21">
      <c r="A18" s="67" t="s">
        <v>223</v>
      </c>
      <c r="B18" s="2" t="s">
        <v>135</v>
      </c>
    </row>
    <row r="19" spans="1:2">
      <c r="B19" t="s">
        <v>236</v>
      </c>
    </row>
    <row r="20" spans="1:2">
      <c r="B20" t="s">
        <v>237</v>
      </c>
    </row>
    <row r="21" spans="1:2">
      <c r="B21" t="s">
        <v>238</v>
      </c>
    </row>
  </sheetData>
  <pageMargins left="0.7" right="0.7" top="0.75" bottom="0.75" header="0.3" footer="0.3"/>
  <pageSetup paperSize="9" orientation="portrait" r:id="rId1"/>
  <headerFooter>
    <oddFooter><![CDATA[&L&"Calibri,Normal"&K000000&G&C&"Calibri,Normal"&K000000Mariano Vilallonga - Feedback 360° &R&"Calibri,Normal"&K000000
Página &P]]></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2"/>
  <sheetViews>
    <sheetView showGridLines="0" view="pageBreakPreview" zoomScaleNormal="100" zoomScaleSheetLayoutView="100" workbookViewId="0">
      <selection activeCell="I18" sqref="I18"/>
    </sheetView>
  </sheetViews>
  <sheetFormatPr baseColWidth="10" defaultRowHeight="15"/>
  <cols>
    <col min="1" max="1" customWidth="true" width="3.28515625" collapsed="false"/>
    <col min="8" max="8" customWidth="true" width="14.7109375" collapsed="false"/>
  </cols>
  <sheetData>
    <row r="2" spans="2:2" ht="18">
      <c r="B2" s="58" t="s">
        <v>200</v>
      </c>
    </row>
  </sheetData>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B2:J32"/>
  <sheetViews>
    <sheetView showGridLines="0" view="pageBreakPreview" zoomScaleNormal="100" zoomScaleSheetLayoutView="100" workbookViewId="0">
      <selection activeCell="B2" sqref="B2"/>
    </sheetView>
  </sheetViews>
  <sheetFormatPr baseColWidth="10" defaultRowHeight="15"/>
  <cols>
    <col min="1" max="1" customWidth="true" width="3.28515625" collapsed="false"/>
    <col min="2" max="2" bestFit="true" customWidth="true" width="5.140625" collapsed="false"/>
    <col min="3" max="3" bestFit="true" customWidth="true" width="3.7109375" collapsed="false"/>
    <col min="4" max="4" customWidth="true" width="2.7109375" collapsed="false"/>
    <col min="5" max="5" customWidth="true" width="14.7109375" collapsed="false"/>
    <col min="6" max="7" customWidth="true" width="13.7109375" collapsed="false"/>
    <col min="8" max="8" customWidth="true" width="17.28515625" collapsed="false"/>
  </cols>
  <sheetData>
    <row r="2" spans="2:10" ht="18.75">
      <c r="B2" s="48" t="s">
        <v>210</v>
      </c>
      <c r="C2" s="48"/>
    </row>
    <row r="3" spans="2:10" ht="25.15" customHeight="1">
      <c r="C3" s="48"/>
      <c r="D3" s="48"/>
      <c r="E3" s="48"/>
      <c r="F3" s="48"/>
      <c r="G3" s="48"/>
      <c r="H3" s="48"/>
      <c r="I3" s="48"/>
      <c r="J3" s="48"/>
    </row>
    <row r="6" spans="2:10" ht="41.25" customHeight="1">
      <c r="E6" s="92" t="s">
        <v>165</v>
      </c>
      <c r="F6" s="92"/>
      <c r="G6" s="92"/>
      <c r="H6" s="92"/>
      <c r="I6" s="1"/>
    </row>
    <row r="8" spans="2:10" ht="18.75">
      <c r="E8" s="91" t="s">
        <v>166</v>
      </c>
      <c r="F8" s="91"/>
      <c r="H8" s="48" t="s">
        <v>3</v>
      </c>
      <c r="I8" s="48"/>
    </row>
    <row r="9" spans="2:10">
      <c r="B9" s="93" t="s">
        <v>167</v>
      </c>
      <c r="D9" s="90" t="s">
        <v>166</v>
      </c>
    </row>
    <row r="10" spans="2:10">
      <c r="B10" s="93"/>
      <c r="D10" s="90"/>
    </row>
    <row r="11" spans="2:10">
      <c r="B11" s="93"/>
      <c r="D11" s="90"/>
    </row>
    <row r="12" spans="2:10">
      <c r="B12" s="93"/>
      <c r="D12" s="90"/>
    </row>
    <row r="13" spans="2:10">
      <c r="B13" s="93"/>
      <c r="D13" s="90"/>
    </row>
    <row r="14" spans="2:10">
      <c r="B14" s="93"/>
      <c r="D14" s="90"/>
    </row>
    <row r="15" spans="2:10">
      <c r="B15" s="93"/>
      <c r="D15" s="90"/>
    </row>
    <row r="16" spans="2:10">
      <c r="B16" s="93"/>
      <c r="D16" s="90"/>
    </row>
    <row r="17" spans="2:4">
      <c r="B17" s="93"/>
      <c r="D17" s="90"/>
    </row>
    <row r="18" spans="2:4">
      <c r="B18" s="93"/>
      <c r="D18" s="90"/>
    </row>
    <row r="19" spans="2:4">
      <c r="B19" s="93"/>
      <c r="D19" s="90"/>
    </row>
    <row r="20" spans="2:4">
      <c r="B20" s="93"/>
    </row>
    <row r="21" spans="2:4" ht="15.75">
      <c r="B21" s="93"/>
      <c r="C21" s="27"/>
    </row>
    <row r="22" spans="2:4" ht="14.65" customHeight="1">
      <c r="B22" s="93"/>
    </row>
    <row r="23" spans="2:4">
      <c r="B23" s="93"/>
      <c r="C23" s="49"/>
    </row>
    <row r="24" spans="2:4">
      <c r="B24" s="93"/>
      <c r="C24" s="49"/>
    </row>
    <row r="25" spans="2:4">
      <c r="B25" s="93"/>
      <c r="C25" s="49"/>
    </row>
    <row r="26" spans="2:4" ht="69" customHeight="1">
      <c r="B26" s="93"/>
      <c r="D26" s="90" t="s">
        <v>3</v>
      </c>
    </row>
    <row r="27" spans="2:4">
      <c r="B27" s="93"/>
      <c r="D27" s="90"/>
    </row>
    <row r="28" spans="2:4">
      <c r="B28" s="93"/>
      <c r="D28" s="90"/>
    </row>
    <row r="29" spans="2:4">
      <c r="B29" s="93"/>
      <c r="D29" s="90"/>
    </row>
    <row r="30" spans="2:4">
      <c r="B30" s="93"/>
      <c r="D30" s="90"/>
    </row>
    <row r="31" spans="2:4">
      <c r="B31" s="93"/>
      <c r="C31" s="49"/>
    </row>
    <row r="32" spans="2:4">
      <c r="B32" s="93"/>
      <c r="C32" s="49"/>
    </row>
  </sheetData>
  <mergeCells count="5">
    <mergeCell ref="D26:D30"/>
    <mergeCell ref="E8:F8"/>
    <mergeCell ref="E6:H6"/>
    <mergeCell ref="B9:B32"/>
    <mergeCell ref="D9:D19"/>
  </mergeCells>
  <pageMargins left="0.7" right="0.7" top="0.75" bottom="0.75" header="0.3" footer="0.3"/>
  <pageSetup paperSize="9" orientation="portrait" r:id="rId1"/>
  <headerFooter>
    <oddFooter><![CDATA[&L&"Calibri,Normal"&K000000&G&C&"Calibri,Normal"&K000000Mariano Vilallonga - Feedback 360°&R&"Calibri,Normal"&K000000
Página &P]]></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B1:J19"/>
  <sheetViews>
    <sheetView showGridLines="0" showWhiteSpace="0" view="pageBreakPreview" zoomScaleNormal="100" zoomScaleSheetLayoutView="100" zoomScalePageLayoutView="70" workbookViewId="0"/>
  </sheetViews>
  <sheetFormatPr baseColWidth="10" defaultRowHeight="15"/>
  <cols>
    <col min="1" max="1" customWidth="true" width="3.28515625" collapsed="false"/>
    <col min="2" max="2" bestFit="true" customWidth="true" width="5.140625" collapsed="false"/>
    <col min="3" max="3" customWidth="true" width="36.140625" collapsed="false"/>
    <col min="4" max="7" customWidth="true" width="8.7109375" collapsed="false"/>
    <col min="8" max="8" customWidth="true" width="6.7109375" collapsed="false"/>
    <col min="9" max="9" customWidth="true" width="10.0" collapsed="false"/>
  </cols>
  <sheetData>
    <row r="1" spans="2:10" ht="21">
      <c r="J1" s="34"/>
    </row>
    <row r="2" spans="2:10" ht="18.75">
      <c r="B2" s="86" t="s">
        <v>211</v>
      </c>
      <c r="C2" s="86"/>
      <c r="D2" s="86"/>
      <c r="E2" s="86"/>
      <c r="F2" s="86"/>
      <c r="G2" s="86"/>
      <c r="H2" s="86"/>
      <c r="I2" s="86"/>
    </row>
    <row r="3" spans="2:10" s="78" customFormat="1" ht="49.5" customHeight="1">
      <c r="B3" s="86"/>
      <c r="C3" s="86"/>
      <c r="D3" s="86"/>
      <c r="E3" s="86"/>
      <c r="F3" s="86"/>
      <c r="G3" s="86"/>
      <c r="H3" s="86"/>
      <c r="I3" s="86"/>
    </row>
    <row r="4" spans="2:10" ht="25.5" customHeight="1">
      <c r="C4" s="94" t="s">
        <v>202</v>
      </c>
      <c r="D4" s="95"/>
      <c r="E4" s="95"/>
      <c r="F4" s="95"/>
      <c r="G4" s="96"/>
      <c r="H4" s="47"/>
      <c r="I4" s="47"/>
    </row>
    <row r="5" spans="2:10" ht="21">
      <c r="B5" s="46"/>
      <c r="C5" s="46"/>
      <c r="E5" s="46"/>
      <c r="F5" s="46"/>
      <c r="G5" s="46"/>
      <c r="H5" s="46"/>
      <c r="I5" s="46"/>
    </row>
    <row r="6" spans="2:10" ht="15" customHeight="1"/>
    <row r="7" spans="2:10" ht="15" customHeight="1">
      <c r="C7" s="27" t="s">
        <v>188</v>
      </c>
      <c r="D7" s="5"/>
    </row>
    <row r="8" spans="2:10" ht="15.75">
      <c r="C8" s="27" t="s">
        <v>189</v>
      </c>
    </row>
    <row r="9" spans="2:10" ht="15.75">
      <c r="C9" s="27" t="s">
        <v>190</v>
      </c>
    </row>
    <row r="10" spans="2:10" ht="15.75">
      <c r="C10" s="55" t="s">
        <v>201</v>
      </c>
    </row>
    <row r="12" spans="2:10" ht="15.75" thickBot="1"/>
    <row r="13" spans="2:10" ht="36.75" customHeight="1">
      <c r="C13" s="50" t="s">
        <v>168</v>
      </c>
      <c r="D13" s="51" t="s">
        <v>143</v>
      </c>
      <c r="E13" s="51" t="s">
        <v>131</v>
      </c>
      <c r="F13" s="51" t="s">
        <v>221</v>
      </c>
      <c r="G13" s="52" t="s">
        <v>169</v>
      </c>
    </row>
    <row r="14" spans="2:10" ht="36.75" customHeight="1">
      <c r="C14" s="28"/>
      <c r="D14" s="30"/>
      <c r="E14" s="30"/>
      <c r="F14" s="30"/>
      <c r="G14" s="31"/>
    </row>
    <row r="15" spans="2:10" ht="36.75" customHeight="1">
      <c r="C15" s="28"/>
      <c r="D15" s="30"/>
      <c r="E15" s="30"/>
      <c r="F15" s="30"/>
      <c r="G15" s="31"/>
    </row>
    <row r="16" spans="2:10" ht="36.75" customHeight="1">
      <c r="C16" s="28"/>
      <c r="D16" s="30"/>
      <c r="E16" s="30"/>
      <c r="F16" s="30"/>
      <c r="G16" s="31"/>
    </row>
    <row r="17" spans="3:7" ht="36.75" customHeight="1" thickBot="1">
      <c r="C17" s="29"/>
      <c r="D17" s="32"/>
      <c r="E17" s="32"/>
      <c r="F17" s="32"/>
      <c r="G17" s="33"/>
    </row>
    <row r="19" spans="3:7" ht="15" customHeight="1"/>
  </sheetData>
  <mergeCells count="1">
    <mergeCell ref="C4:G4"/>
  </mergeCells>
  <pageMargins left="0.7" right="0.7" top="0.75" bottom="0.75" header="0.3" footer="0.3"/>
  <pageSetup paperSize="9" orientation="portrait" r:id="rId1"/>
  <headerFooter>
    <oddFooter><![CDATA[&L&"Calibri,Normal"&K000000&G&C&"Calibri,Normal"&K000000Mariano Vilallonga - Feedback 360°&R&"Calibri,Normal"&K000000Página 14]]></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B1:J12"/>
  <sheetViews>
    <sheetView showGridLines="0" view="pageBreakPreview" zoomScaleNormal="100" zoomScaleSheetLayoutView="100" workbookViewId="0"/>
  </sheetViews>
  <sheetFormatPr baseColWidth="10" defaultRowHeight="15"/>
  <cols>
    <col min="1" max="1" customWidth="true" width="3.28515625" collapsed="false"/>
    <col min="2" max="2" bestFit="true" customWidth="true" width="19.7109375" collapsed="false"/>
    <col min="3" max="3" customWidth="true" width="8.7109375" collapsed="false"/>
    <col min="6" max="6" customWidth="true" width="27.140625" collapsed="false"/>
    <col min="7" max="7" customWidth="true" width="5.42578125" collapsed="false"/>
  </cols>
  <sheetData>
    <row r="1" spans="2:10" ht="21">
      <c r="C1" s="87"/>
      <c r="D1" s="87"/>
      <c r="E1" s="87"/>
      <c r="F1" s="87"/>
      <c r="J1" s="34"/>
    </row>
    <row r="2" spans="2:10" ht="18.75">
      <c r="B2" s="87" t="s">
        <v>212</v>
      </c>
    </row>
    <row r="3" spans="2:10" ht="40.5" customHeight="1">
      <c r="B3" s="48" t="s">
        <v>170</v>
      </c>
      <c r="E3" s="48" t="s">
        <v>171</v>
      </c>
      <c r="F3" s="26"/>
      <c r="H3" s="26"/>
      <c r="I3" s="26"/>
    </row>
    <row r="4" spans="2:10" ht="15" customHeight="1">
      <c r="B4" s="26"/>
      <c r="I4" s="45"/>
    </row>
    <row r="5" spans="2:10" ht="25.15" customHeight="1">
      <c r="B5" s="35" t="s">
        <v>172</v>
      </c>
      <c r="C5" s="98"/>
      <c r="D5" s="98"/>
      <c r="E5" s="98"/>
      <c r="F5" s="98"/>
    </row>
    <row r="6" spans="2:10" ht="40.9" customHeight="1">
      <c r="B6" s="36" t="s">
        <v>173</v>
      </c>
      <c r="C6" s="97"/>
      <c r="D6" s="97"/>
      <c r="E6" s="97"/>
      <c r="F6" s="97"/>
    </row>
    <row r="7" spans="2:10" ht="141" customHeight="1">
      <c r="B7" s="99" t="s">
        <v>174</v>
      </c>
      <c r="C7" s="100"/>
      <c r="D7" s="97"/>
      <c r="E7" s="97"/>
      <c r="F7" s="97"/>
    </row>
    <row r="8" spans="2:10" ht="32.65" customHeight="1">
      <c r="B8" s="36" t="s">
        <v>175</v>
      </c>
      <c r="C8" s="97"/>
      <c r="D8" s="97"/>
      <c r="E8" s="97"/>
      <c r="F8" s="97"/>
    </row>
    <row r="9" spans="2:10" ht="145.15" customHeight="1">
      <c r="B9" s="99" t="s">
        <v>174</v>
      </c>
      <c r="C9" s="100"/>
      <c r="D9" s="97"/>
      <c r="E9" s="97"/>
      <c r="F9" s="97"/>
    </row>
    <row r="10" spans="2:10" ht="31.15" customHeight="1">
      <c r="B10" s="36" t="s">
        <v>176</v>
      </c>
      <c r="C10" s="97"/>
      <c r="D10" s="97"/>
      <c r="E10" s="97"/>
      <c r="F10" s="97"/>
    </row>
    <row r="11" spans="2:10" ht="163.15" customHeight="1">
      <c r="B11" s="99" t="s">
        <v>174</v>
      </c>
      <c r="C11" s="100"/>
      <c r="D11" s="97"/>
      <c r="E11" s="97"/>
      <c r="F11" s="97"/>
    </row>
    <row r="12" spans="2:10" ht="36.4" customHeight="1">
      <c r="B12" s="37"/>
      <c r="C12" s="38"/>
      <c r="D12" s="39"/>
      <c r="E12" s="39"/>
      <c r="F12" s="39"/>
    </row>
  </sheetData>
  <mergeCells count="10">
    <mergeCell ref="D11:F11"/>
    <mergeCell ref="C5:F5"/>
    <mergeCell ref="C6:F6"/>
    <mergeCell ref="D7:F7"/>
    <mergeCell ref="C8:F8"/>
    <mergeCell ref="B7:C7"/>
    <mergeCell ref="B9:C9"/>
    <mergeCell ref="B11:C11"/>
    <mergeCell ref="D9:F9"/>
    <mergeCell ref="C10:F10"/>
  </mergeCells>
  <pageMargins left="0.7" right="0.7" top="0.75" bottom="0.75" header="0.3" footer="0.3"/>
  <pageSetup paperSize="9" orientation="portrait" r:id="rId1"/>
  <headerFooter>
    <oddFooter><![CDATA[&L&"Calibri,Normal"&K000000&G&C&"Calibri,Normal"&K000000Mariano Vilallonga - Feedback 360°&R&"Calibri,Normal"&K000000
Página &P]]></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W75"/>
  <sheetViews>
    <sheetView showGridLines="0" tabSelected="1" zoomScale="70" zoomScaleNormal="70" zoomScalePageLayoutView="85" workbookViewId="0">
      <selection activeCell="D4" sqref="D4:O74"/>
    </sheetView>
  </sheetViews>
  <sheetFormatPr baseColWidth="10" defaultRowHeight="15" outlineLevelRow="1"/>
  <cols>
    <col min="1" max="1" bestFit="true" customWidth="true" width="2.140625" collapsed="false"/>
    <col min="2" max="2" customWidth="true" width="9.140625" collapsed="false"/>
    <col min="3" max="3" bestFit="true" customWidth="true" width="78.7109375" collapsed="false"/>
    <col min="4" max="4" customWidth="true" width="4.42578125" collapsed="false"/>
    <col min="5" max="15" bestFit="true" customWidth="true" width="5.28515625" collapsed="false"/>
    <col min="17" max="19" bestFit="true" customWidth="true" width="9.7109375" collapsed="false"/>
    <col min="20" max="20" bestFit="true" customWidth="true" width="7.7109375" collapsed="false"/>
    <col min="21" max="21" bestFit="true" customWidth="true" width="9.7109375" collapsed="false"/>
    <col min="22" max="22" customWidth="true" width="35.0" collapsed="false"/>
  </cols>
  <sheetData>
    <row r="1" spans="1:23" ht="24" thickBot="1">
      <c r="A1" s="101" t="s">
        <v>177</v>
      </c>
      <c r="B1" s="101"/>
      <c r="C1" s="101"/>
      <c r="D1" t="s">
        <v>288</v>
      </c>
      <c r="V1" t="s">
        <v>222</v>
      </c>
      <c r="W1" s="78"/>
    </row>
    <row r="2" spans="1:23" ht="110.25">
      <c r="A2" s="102" t="s">
        <v>178</v>
      </c>
      <c r="B2" s="103"/>
      <c r="C2" s="104"/>
      <c r="D2" s="16" t="s">
        <v>17</v>
      </c>
      <c r="E2" s="18" t="s">
        <v>150</v>
      </c>
      <c r="F2" s="19" t="s">
        <v>151</v>
      </c>
      <c r="G2" s="19" t="s">
        <v>152</v>
      </c>
      <c r="H2" s="19" t="s">
        <v>153</v>
      </c>
      <c r="I2" s="19" t="s">
        <v>154</v>
      </c>
      <c r="J2" s="20" t="s">
        <v>155</v>
      </c>
      <c r="K2" s="18" t="s">
        <v>156</v>
      </c>
      <c r="L2" s="19" t="s">
        <v>157</v>
      </c>
      <c r="M2" s="19" t="s">
        <v>158</v>
      </c>
      <c r="N2" s="19" t="s">
        <v>159</v>
      </c>
      <c r="O2" s="20" t="s">
        <v>160</v>
      </c>
      <c r="Q2" s="9" t="s">
        <v>164</v>
      </c>
      <c r="R2" s="9" t="s">
        <v>161</v>
      </c>
      <c r="S2" s="9" t="s">
        <v>162</v>
      </c>
      <c r="T2" s="9" t="s">
        <v>215</v>
      </c>
      <c r="U2" s="9" t="s">
        <v>163</v>
      </c>
      <c r="W2" s="79" t="s">
        <v>225</v>
      </c>
    </row>
    <row r="3" spans="1:23">
      <c r="A3" s="10" t="s">
        <v>131</v>
      </c>
      <c r="B3" s="11" t="s">
        <v>149</v>
      </c>
      <c r="C3" s="12"/>
      <c r="D3" s="17"/>
      <c r="E3" s="21"/>
      <c r="F3" s="13"/>
      <c r="G3" s="13"/>
      <c r="H3" s="13"/>
      <c r="I3" s="13"/>
      <c r="J3" s="22"/>
      <c r="K3" s="21"/>
      <c r="L3" s="13"/>
      <c r="M3" s="13"/>
      <c r="N3" s="13"/>
      <c r="O3" s="22"/>
      <c r="P3" s="14"/>
      <c r="Q3" s="15">
        <f>AVERAGE(Q4:Q8)</f>
        <v>0</v>
      </c>
      <c r="R3" s="15">
        <f>AVERAGE(R4:R8)</f>
        <v>0</v>
      </c>
      <c r="S3" s="15">
        <f>AVERAGE(S4:S8)</f>
        <v>0</v>
      </c>
      <c r="T3" s="62">
        <f>AVERAGE(R3,S3)</f>
        <v>0</v>
      </c>
      <c r="U3" s="15">
        <v>3.92</v>
      </c>
      <c r="W3" s="78"/>
    </row>
    <row r="4" spans="1:23" outlineLevel="1">
      <c r="A4" s="6"/>
      <c r="B4" s="7" t="s">
        <v>18</v>
      </c>
      <c r="C4" s="61" t="s">
        <v>19</v>
      </c>
      <c r="D4" s="69" t="s">
        <v>289</v>
      </c>
      <c r="E4" s="70" t="s">
        <v>289</v>
      </c>
      <c r="F4" s="71"/>
      <c r="G4" s="71"/>
      <c r="H4" s="71"/>
      <c r="I4" s="71"/>
      <c r="J4" s="72"/>
      <c r="K4" s="73" t="s">
        <v>289</v>
      </c>
      <c r="L4" s="74"/>
      <c r="M4" s="74"/>
      <c r="N4" s="74"/>
      <c r="O4" s="75"/>
      <c r="Q4" s="24">
        <f>D4</f>
        <v>0</v>
      </c>
      <c r="R4" s="23">
        <f>IFERROR(AVERAGE(E4:J4),0)</f>
        <v>0</v>
      </c>
      <c r="S4" s="25">
        <f>IFERROR(AVERAGE(K4:O4),0)</f>
        <v>0</v>
      </c>
      <c r="T4" s="63">
        <f>IFERROR(AVERAGE(R4,S4),0)</f>
        <v>0</v>
      </c>
      <c r="U4" s="8"/>
      <c r="W4" s="78" t="s">
        <v>226</v>
      </c>
    </row>
    <row r="5" spans="1:23" outlineLevel="1">
      <c r="A5" s="6"/>
      <c r="B5" s="7" t="s">
        <v>87</v>
      </c>
      <c r="C5" s="61" t="s">
        <v>88</v>
      </c>
      <c r="D5" s="76" t="s">
        <v>290</v>
      </c>
      <c r="E5" s="70" t="s">
        <v>293</v>
      </c>
      <c r="F5" s="71"/>
      <c r="G5" s="71"/>
      <c r="H5" s="71"/>
      <c r="I5" s="71"/>
      <c r="J5" s="72"/>
      <c r="K5" s="73" t="s">
        <v>290</v>
      </c>
      <c r="L5" s="74"/>
      <c r="M5" s="74"/>
      <c r="N5" s="74"/>
      <c r="O5" s="75"/>
      <c r="Q5" s="24">
        <f>D5</f>
        <v>0</v>
      </c>
      <c r="R5" s="23">
        <f t="shared" ref="R5:R8" si="0">IFERROR(AVERAGE(E5:J5),0)</f>
        <v>0</v>
      </c>
      <c r="S5" s="25">
        <f t="shared" ref="S5:S8" si="1">IFERROR(AVERAGE(K5:O5),0)</f>
        <v>0</v>
      </c>
      <c r="T5" s="63">
        <f>IFERROR(AVERAGE(R5,S5),0)</f>
        <v>0</v>
      </c>
      <c r="U5" s="8"/>
      <c r="W5" s="78" t="s">
        <v>227</v>
      </c>
    </row>
    <row r="6" spans="1:23" outlineLevel="1">
      <c r="A6" s="6"/>
      <c r="B6" s="7" t="s">
        <v>66</v>
      </c>
      <c r="C6" s="61" t="s">
        <v>67</v>
      </c>
      <c r="D6" s="76" t="s">
        <v>289</v>
      </c>
      <c r="E6" s="70" t="s">
        <v>290</v>
      </c>
      <c r="F6" s="71"/>
      <c r="G6" s="71"/>
      <c r="H6" s="71"/>
      <c r="I6" s="71"/>
      <c r="J6" s="72"/>
      <c r="K6" s="73" t="s">
        <v>289</v>
      </c>
      <c r="L6" s="74"/>
      <c r="M6" s="74"/>
      <c r="N6" s="74"/>
      <c r="O6" s="75"/>
      <c r="Q6" s="24">
        <f>D6</f>
        <v>0</v>
      </c>
      <c r="R6" s="23">
        <f t="shared" si="0"/>
        <v>0</v>
      </c>
      <c r="S6" s="25">
        <f t="shared" si="1"/>
        <v>0</v>
      </c>
      <c r="T6" s="63">
        <f>IFERROR(AVERAGE(R6,S6),0)</f>
        <v>0</v>
      </c>
      <c r="U6" s="8"/>
      <c r="W6" s="78" t="s">
        <v>228</v>
      </c>
    </row>
    <row r="7" spans="1:23" outlineLevel="1">
      <c r="A7" s="6"/>
      <c r="B7" s="7" t="s">
        <v>42</v>
      </c>
      <c r="C7" s="61" t="s">
        <v>43</v>
      </c>
      <c r="D7" s="76" t="s">
        <v>291</v>
      </c>
      <c r="E7" s="70" t="s">
        <v>292</v>
      </c>
      <c r="F7" s="71"/>
      <c r="G7" s="71"/>
      <c r="H7" s="71"/>
      <c r="I7" s="71"/>
      <c r="J7" s="72"/>
      <c r="K7" s="73" t="s">
        <v>292</v>
      </c>
      <c r="L7" s="74"/>
      <c r="M7" s="74"/>
      <c r="N7" s="74"/>
      <c r="O7" s="75"/>
      <c r="Q7" s="24">
        <f>D7</f>
        <v>0</v>
      </c>
      <c r="R7" s="23">
        <f t="shared" si="0"/>
        <v>0</v>
      </c>
      <c r="S7" s="25">
        <f t="shared" si="1"/>
        <v>0</v>
      </c>
      <c r="T7" s="63">
        <f>IFERROR(AVERAGE(R7,S7),0)</f>
        <v>0</v>
      </c>
      <c r="U7" s="8"/>
      <c r="W7" s="78" t="s">
        <v>229</v>
      </c>
    </row>
    <row r="8" spans="1:23" outlineLevel="1">
      <c r="A8" s="6"/>
      <c r="B8" s="7" t="s">
        <v>109</v>
      </c>
      <c r="C8" s="61" t="s">
        <v>110</v>
      </c>
      <c r="D8" s="76" t="s">
        <v>289</v>
      </c>
      <c r="E8" s="70" t="s">
        <v>291</v>
      </c>
      <c r="F8" s="71"/>
      <c r="G8" s="71"/>
      <c r="H8" s="71"/>
      <c r="I8" s="71"/>
      <c r="J8" s="72"/>
      <c r="K8" s="73" t="s">
        <v>290</v>
      </c>
      <c r="L8" s="74"/>
      <c r="M8" s="74"/>
      <c r="N8" s="74"/>
      <c r="O8" s="75"/>
      <c r="Q8" s="24">
        <f>D8</f>
        <v>0</v>
      </c>
      <c r="R8" s="23">
        <f t="shared" si="0"/>
        <v>0</v>
      </c>
      <c r="S8" s="25">
        <f t="shared" si="1"/>
        <v>0</v>
      </c>
      <c r="T8" s="63">
        <f>IFERROR(AVERAGE(R8,S8),0)</f>
        <v>0</v>
      </c>
      <c r="U8" s="8"/>
      <c r="W8" s="78" t="s">
        <v>230</v>
      </c>
    </row>
    <row r="9" spans="1:23">
      <c r="A9" s="10" t="s">
        <v>132</v>
      </c>
      <c r="B9" s="11" t="s">
        <v>133</v>
      </c>
      <c r="C9" s="66"/>
      <c r="D9" s="17"/>
      <c r="E9" s="21"/>
      <c r="F9" s="13"/>
      <c r="G9" s="13"/>
      <c r="H9" s="13"/>
      <c r="I9" s="13"/>
      <c r="J9" s="22"/>
      <c r="K9" s="21"/>
      <c r="L9" s="13"/>
      <c r="M9" s="13"/>
      <c r="N9" s="13"/>
      <c r="O9" s="22"/>
      <c r="P9" s="14"/>
      <c r="Q9" s="15">
        <f>AVERAGE(Q10:Q14)</f>
        <v>0</v>
      </c>
      <c r="R9" s="15">
        <f>AVERAGE(R10:R14)</f>
        <v>0</v>
      </c>
      <c r="S9" s="15">
        <f>AVERAGE(S10:S14)</f>
        <v>0</v>
      </c>
      <c r="T9" s="64">
        <f t="shared" ref="T9:T63" si="2">AVERAGE(R9,S9)</f>
        <v>0</v>
      </c>
      <c r="U9" s="15">
        <v>3.89</v>
      </c>
      <c r="W9" s="78"/>
    </row>
    <row r="10" spans="1:23" outlineLevel="1">
      <c r="A10" s="6"/>
      <c r="B10" s="7" t="s">
        <v>20</v>
      </c>
      <c r="C10" s="61" t="s">
        <v>21</v>
      </c>
      <c r="D10" s="69" t="s">
        <v>292</v>
      </c>
      <c r="E10" s="70" t="s">
        <v>289</v>
      </c>
      <c r="F10" s="71"/>
      <c r="G10" s="71"/>
      <c r="H10" s="71"/>
      <c r="I10" s="71"/>
      <c r="J10" s="72"/>
      <c r="K10" s="73" t="s">
        <v>292</v>
      </c>
      <c r="L10" s="74"/>
      <c r="M10" s="74"/>
      <c r="N10" s="74"/>
      <c r="O10" s="75"/>
      <c r="Q10" s="24">
        <f>D10</f>
        <v>0</v>
      </c>
      <c r="R10" s="23">
        <f t="shared" ref="R10:R14" si="3">IFERROR(AVERAGE(E10:J10),0)</f>
        <v>0</v>
      </c>
      <c r="S10" s="25">
        <f t="shared" ref="S10:S14" si="4">IFERROR(AVERAGE(K10:O10),0)</f>
        <v>0</v>
      </c>
      <c r="T10" s="63">
        <f>IFERROR(AVERAGE(R10,S10),0)</f>
        <v>0</v>
      </c>
      <c r="U10" s="8"/>
      <c r="W10" s="78" t="s">
        <v>231</v>
      </c>
    </row>
    <row r="11" spans="1:23" outlineLevel="1">
      <c r="A11" s="6"/>
      <c r="B11" s="7" t="s">
        <v>89</v>
      </c>
      <c r="C11" s="65" t="s">
        <v>217</v>
      </c>
      <c r="D11" s="76" t="s">
        <v>293</v>
      </c>
      <c r="E11" s="70" t="s">
        <v>293</v>
      </c>
      <c r="F11" s="71"/>
      <c r="G11" s="71"/>
      <c r="H11" s="71"/>
      <c r="I11" s="71"/>
      <c r="J11" s="72"/>
      <c r="K11" s="73" t="s">
        <v>290</v>
      </c>
      <c r="L11" s="74"/>
      <c r="M11" s="74"/>
      <c r="N11" s="74"/>
      <c r="O11" s="75"/>
      <c r="Q11" s="24">
        <f>D11</f>
        <v>0</v>
      </c>
      <c r="R11" s="23">
        <f t="shared" si="3"/>
        <v>0</v>
      </c>
      <c r="S11" s="25">
        <f t="shared" si="4"/>
        <v>0</v>
      </c>
      <c r="T11" s="63">
        <f>IFERROR(AVERAGE(R11,S11),0)</f>
        <v>0</v>
      </c>
      <c r="U11" s="8"/>
      <c r="W11" s="78" t="s">
        <v>232</v>
      </c>
    </row>
    <row r="12" spans="1:23" outlineLevel="1">
      <c r="A12" s="6"/>
      <c r="B12" s="7" t="s">
        <v>68</v>
      </c>
      <c r="C12" s="61" t="s">
        <v>69</v>
      </c>
      <c r="D12" s="76" t="s">
        <v>292</v>
      </c>
      <c r="E12" s="70" t="s">
        <v>290</v>
      </c>
      <c r="F12" s="71"/>
      <c r="G12" s="71"/>
      <c r="H12" s="71"/>
      <c r="I12" s="71"/>
      <c r="J12" s="72"/>
      <c r="K12" s="73" t="s">
        <v>289</v>
      </c>
      <c r="L12" s="74"/>
      <c r="M12" s="74"/>
      <c r="N12" s="74"/>
      <c r="O12" s="75"/>
      <c r="Q12" s="24">
        <f>D12</f>
        <v>0</v>
      </c>
      <c r="R12" s="23">
        <f t="shared" si="3"/>
        <v>0</v>
      </c>
      <c r="S12" s="25">
        <f t="shared" si="4"/>
        <v>0</v>
      </c>
      <c r="T12" s="63">
        <f>IFERROR(AVERAGE(R12,S12),0)</f>
        <v>0</v>
      </c>
      <c r="U12" s="8"/>
      <c r="W12" s="78" t="s">
        <v>233</v>
      </c>
    </row>
    <row r="13" spans="1:23" outlineLevel="1">
      <c r="A13" s="6"/>
      <c r="B13" s="7" t="s">
        <v>44</v>
      </c>
      <c r="C13" s="61" t="s">
        <v>45</v>
      </c>
      <c r="D13" s="76" t="s">
        <v>293</v>
      </c>
      <c r="E13" s="70" t="s">
        <v>292</v>
      </c>
      <c r="F13" s="71"/>
      <c r="G13" s="71"/>
      <c r="H13" s="71"/>
      <c r="I13" s="71"/>
      <c r="J13" s="72"/>
      <c r="K13" s="73" t="s">
        <v>292</v>
      </c>
      <c r="L13" s="74"/>
      <c r="M13" s="74"/>
      <c r="N13" s="74"/>
      <c r="O13" s="75"/>
      <c r="Q13" s="24">
        <f>D13</f>
        <v>0</v>
      </c>
      <c r="R13" s="23">
        <f t="shared" si="3"/>
        <v>0</v>
      </c>
      <c r="S13" s="25">
        <f t="shared" si="4"/>
        <v>0</v>
      </c>
      <c r="T13" s="63">
        <f>IFERROR(AVERAGE(R13,S13),0)</f>
        <v>0</v>
      </c>
      <c r="U13" s="8"/>
      <c r="W13" s="78" t="s">
        <v>234</v>
      </c>
    </row>
    <row r="14" spans="1:23" outlineLevel="1">
      <c r="A14" s="6"/>
      <c r="B14" s="7" t="s">
        <v>111</v>
      </c>
      <c r="C14" s="61" t="s">
        <v>112</v>
      </c>
      <c r="D14" s="76" t="s">
        <v>289</v>
      </c>
      <c r="E14" s="70" t="s">
        <v>291</v>
      </c>
      <c r="F14" s="71"/>
      <c r="G14" s="71"/>
      <c r="H14" s="71"/>
      <c r="I14" s="71"/>
      <c r="J14" s="72"/>
      <c r="K14" s="73" t="s">
        <v>290</v>
      </c>
      <c r="L14" s="74"/>
      <c r="M14" s="74"/>
      <c r="N14" s="74"/>
      <c r="O14" s="75"/>
      <c r="Q14" s="24">
        <f>D14</f>
        <v>0</v>
      </c>
      <c r="R14" s="23">
        <f t="shared" si="3"/>
        <v>0</v>
      </c>
      <c r="S14" s="25">
        <f t="shared" si="4"/>
        <v>0</v>
      </c>
      <c r="T14" s="63">
        <f>IFERROR(AVERAGE(R14,S14),0)</f>
        <v>0</v>
      </c>
      <c r="U14" s="8"/>
      <c r="W14" s="78" t="s">
        <v>235</v>
      </c>
    </row>
    <row r="15" spans="1:23">
      <c r="A15" s="10" t="s">
        <v>134</v>
      </c>
      <c r="B15" s="11" t="s">
        <v>135</v>
      </c>
      <c r="C15" s="66"/>
      <c r="D15" s="17"/>
      <c r="E15" s="21"/>
      <c r="F15" s="13"/>
      <c r="G15" s="13"/>
      <c r="H15" s="13"/>
      <c r="I15" s="13"/>
      <c r="J15" s="22"/>
      <c r="K15" s="21"/>
      <c r="L15" s="13"/>
      <c r="M15" s="13"/>
      <c r="N15" s="13"/>
      <c r="O15" s="22"/>
      <c r="P15" s="14"/>
      <c r="Q15" s="15">
        <f>AVERAGE(Q16:Q20)</f>
        <v>0</v>
      </c>
      <c r="R15" s="15">
        <f>AVERAGE(R16:R20)</f>
        <v>0</v>
      </c>
      <c r="S15" s="15">
        <f>AVERAGE(S16:S20)</f>
        <v>0</v>
      </c>
      <c r="T15" s="64">
        <f t="shared" si="2"/>
        <v>0</v>
      </c>
      <c r="U15" s="15">
        <v>3.82</v>
      </c>
      <c r="V15" s="77"/>
      <c r="W15" s="78"/>
    </row>
    <row r="16" spans="1:23" outlineLevel="1">
      <c r="A16" s="6"/>
      <c r="B16" s="7" t="s">
        <v>22</v>
      </c>
      <c r="C16" s="61" t="s">
        <v>23</v>
      </c>
      <c r="D16" s="69" t="s">
        <v>290</v>
      </c>
      <c r="E16" s="70" t="s">
        <v>289</v>
      </c>
      <c r="F16" s="71"/>
      <c r="G16" s="71"/>
      <c r="H16" s="71"/>
      <c r="I16" s="71"/>
      <c r="J16" s="72"/>
      <c r="K16" s="73" t="s">
        <v>292</v>
      </c>
      <c r="L16" s="74"/>
      <c r="M16" s="74"/>
      <c r="N16" s="74"/>
      <c r="O16" s="75"/>
      <c r="Q16" s="24">
        <f>D16</f>
        <v>0</v>
      </c>
      <c r="R16" s="23">
        <f t="shared" ref="R16:R20" si="5">IFERROR(AVERAGE(E16:J16),0)</f>
        <v>0</v>
      </c>
      <c r="S16" s="25">
        <f t="shared" ref="S16:S20" si="6">IFERROR(AVERAGE(K16:O16),0)</f>
        <v>0</v>
      </c>
      <c r="T16" s="63">
        <f t="shared" ref="T16:T20" si="7">IFERROR(AVERAGE(R16,S16),0)</f>
        <v>0</v>
      </c>
      <c r="U16" s="8"/>
      <c r="W16" s="78" t="s">
        <v>236</v>
      </c>
    </row>
    <row r="17" spans="1:23" outlineLevel="1">
      <c r="A17" s="6"/>
      <c r="B17" s="7" t="s">
        <v>90</v>
      </c>
      <c r="C17" s="61" t="s">
        <v>91</v>
      </c>
      <c r="D17" s="76" t="s">
        <v>291</v>
      </c>
      <c r="E17" s="70" t="s">
        <v>293</v>
      </c>
      <c r="F17" s="71"/>
      <c r="G17" s="71"/>
      <c r="H17" s="71"/>
      <c r="I17" s="71"/>
      <c r="J17" s="72"/>
      <c r="K17" s="73" t="s">
        <v>290</v>
      </c>
      <c r="L17" s="74"/>
      <c r="M17" s="74"/>
      <c r="N17" s="74"/>
      <c r="O17" s="75"/>
      <c r="Q17" s="24">
        <f>D17</f>
        <v>0</v>
      </c>
      <c r="R17" s="23">
        <f t="shared" si="5"/>
        <v>0</v>
      </c>
      <c r="S17" s="25">
        <f t="shared" si="6"/>
        <v>0</v>
      </c>
      <c r="T17" s="63">
        <f t="shared" si="7"/>
        <v>0</v>
      </c>
      <c r="U17" s="8"/>
      <c r="W17" s="78" t="s">
        <v>237</v>
      </c>
    </row>
    <row r="18" spans="1:23" outlineLevel="1">
      <c r="A18" s="6"/>
      <c r="B18" s="7" t="s">
        <v>70</v>
      </c>
      <c r="C18" s="61" t="s">
        <v>71</v>
      </c>
      <c r="D18" s="76" t="s">
        <v>290</v>
      </c>
      <c r="E18" s="70" t="s">
        <v>290</v>
      </c>
      <c r="F18" s="71"/>
      <c r="G18" s="71"/>
      <c r="H18" s="71"/>
      <c r="I18" s="71"/>
      <c r="J18" s="72"/>
      <c r="K18" s="73" t="s">
        <v>292</v>
      </c>
      <c r="L18" s="74"/>
      <c r="M18" s="74"/>
      <c r="N18" s="74"/>
      <c r="O18" s="75"/>
      <c r="Q18" s="24">
        <f>D18</f>
        <v>0</v>
      </c>
      <c r="R18" s="23">
        <f t="shared" si="5"/>
        <v>0</v>
      </c>
      <c r="S18" s="25">
        <f t="shared" si="6"/>
        <v>0</v>
      </c>
      <c r="T18" s="63">
        <f t="shared" si="7"/>
        <v>0</v>
      </c>
      <c r="U18" s="8"/>
      <c r="W18" s="78" t="s">
        <v>238</v>
      </c>
    </row>
    <row r="19" spans="1:23" outlineLevel="1">
      <c r="A19" s="6"/>
      <c r="B19" s="7" t="s">
        <v>46</v>
      </c>
      <c r="C19" s="61" t="s">
        <v>47</v>
      </c>
      <c r="D19" s="76" t="s">
        <v>290</v>
      </c>
      <c r="E19" s="70" t="s">
        <v>292</v>
      </c>
      <c r="F19" s="71"/>
      <c r="G19" s="71"/>
      <c r="H19" s="71"/>
      <c r="I19" s="71"/>
      <c r="J19" s="72"/>
      <c r="K19" s="73" t="s">
        <v>289</v>
      </c>
      <c r="L19" s="74"/>
      <c r="M19" s="74"/>
      <c r="N19" s="74"/>
      <c r="O19" s="75"/>
      <c r="Q19" s="24">
        <f>D19</f>
        <v>0</v>
      </c>
      <c r="R19" s="23">
        <f t="shared" si="5"/>
        <v>0</v>
      </c>
      <c r="S19" s="25">
        <f t="shared" si="6"/>
        <v>0</v>
      </c>
      <c r="T19" s="63">
        <f t="shared" si="7"/>
        <v>0</v>
      </c>
      <c r="U19" s="8"/>
      <c r="W19" s="78" t="s">
        <v>239</v>
      </c>
    </row>
    <row r="20" spans="1:23" outlineLevel="1">
      <c r="A20" s="6"/>
      <c r="B20" s="7" t="s">
        <v>113</v>
      </c>
      <c r="C20" s="61" t="s">
        <v>114</v>
      </c>
      <c r="D20" s="76" t="s">
        <v>292</v>
      </c>
      <c r="E20" s="70" t="s">
        <v>289</v>
      </c>
      <c r="F20" s="71"/>
      <c r="G20" s="71"/>
      <c r="H20" s="71"/>
      <c r="I20" s="71"/>
      <c r="J20" s="72"/>
      <c r="K20" s="73" t="s">
        <v>290</v>
      </c>
      <c r="L20" s="74"/>
      <c r="M20" s="74"/>
      <c r="N20" s="74"/>
      <c r="O20" s="75"/>
      <c r="Q20" s="24">
        <f>D20</f>
        <v>0</v>
      </c>
      <c r="R20" s="23">
        <f t="shared" si="5"/>
        <v>0</v>
      </c>
      <c r="S20" s="25">
        <f t="shared" si="6"/>
        <v>0</v>
      </c>
      <c r="T20" s="63">
        <f t="shared" si="7"/>
        <v>0</v>
      </c>
      <c r="U20" s="8"/>
      <c r="W20" s="78" t="s">
        <v>240</v>
      </c>
    </row>
    <row r="21" spans="1:23">
      <c r="A21" s="10" t="s">
        <v>136</v>
      </c>
      <c r="B21" s="11" t="s">
        <v>13</v>
      </c>
      <c r="C21" s="66"/>
      <c r="D21" s="17"/>
      <c r="E21" s="21"/>
      <c r="F21" s="13"/>
      <c r="G21" s="13"/>
      <c r="H21" s="13"/>
      <c r="I21" s="13"/>
      <c r="J21" s="22"/>
      <c r="K21" s="21"/>
      <c r="L21" s="13"/>
      <c r="M21" s="13"/>
      <c r="N21" s="13"/>
      <c r="O21" s="22"/>
      <c r="P21" s="14"/>
      <c r="Q21" s="15">
        <f>AVERAGE(Q22:Q26)</f>
        <v>0</v>
      </c>
      <c r="R21" s="15">
        <f>AVERAGE(R22:R26)</f>
        <v>0</v>
      </c>
      <c r="S21" s="15">
        <f>AVERAGE(S22:S26)</f>
        <v>0</v>
      </c>
      <c r="T21" s="64">
        <f t="shared" si="2"/>
        <v>0</v>
      </c>
      <c r="U21" s="15">
        <v>3.85</v>
      </c>
      <c r="W21" s="78"/>
    </row>
    <row r="22" spans="1:23" outlineLevel="1">
      <c r="A22" s="6"/>
      <c r="B22" s="7" t="s">
        <v>24</v>
      </c>
      <c r="C22" s="61" t="s">
        <v>25</v>
      </c>
      <c r="D22" s="69" t="s">
        <v>293</v>
      </c>
      <c r="E22" s="70" t="s">
        <v>289</v>
      </c>
      <c r="F22" s="71"/>
      <c r="G22" s="71"/>
      <c r="H22" s="71"/>
      <c r="I22" s="71"/>
      <c r="J22" s="72"/>
      <c r="K22" s="73" t="s">
        <v>289</v>
      </c>
      <c r="L22" s="74"/>
      <c r="M22" s="74"/>
      <c r="N22" s="74"/>
      <c r="O22" s="75"/>
      <c r="Q22" s="24">
        <f>D22</f>
        <v>0</v>
      </c>
      <c r="R22" s="23">
        <f t="shared" ref="R22:R26" si="8">IFERROR(AVERAGE(E22:J22),0)</f>
        <v>0</v>
      </c>
      <c r="S22" s="25">
        <f t="shared" ref="S22:S26" si="9">IFERROR(AVERAGE(K22:O22),0)</f>
        <v>0</v>
      </c>
      <c r="T22" s="63">
        <f t="shared" ref="T22:T26" si="10">IFERROR(AVERAGE(R22,S22),0)</f>
        <v>0</v>
      </c>
      <c r="U22" s="8"/>
      <c r="W22" s="78" t="s">
        <v>241</v>
      </c>
    </row>
    <row r="23" spans="1:23" outlineLevel="1">
      <c r="A23" s="6"/>
      <c r="B23" s="7" t="s">
        <v>92</v>
      </c>
      <c r="C23" s="61" t="s">
        <v>93</v>
      </c>
      <c r="D23" s="76" t="s">
        <v>293</v>
      </c>
      <c r="E23" s="70" t="s">
        <v>293</v>
      </c>
      <c r="F23" s="71"/>
      <c r="G23" s="71"/>
      <c r="H23" s="71"/>
      <c r="I23" s="71"/>
      <c r="J23" s="72"/>
      <c r="K23" s="73" t="s">
        <v>290</v>
      </c>
      <c r="L23" s="74"/>
      <c r="M23" s="74"/>
      <c r="N23" s="74"/>
      <c r="O23" s="75"/>
      <c r="Q23" s="24">
        <f>D23</f>
        <v>0</v>
      </c>
      <c r="R23" s="23">
        <f t="shared" si="8"/>
        <v>0</v>
      </c>
      <c r="S23" s="25">
        <f t="shared" si="9"/>
        <v>0</v>
      </c>
      <c r="T23" s="63">
        <f t="shared" si="10"/>
        <v>0</v>
      </c>
      <c r="U23" s="8"/>
      <c r="W23" s="78" t="s">
        <v>242</v>
      </c>
    </row>
    <row r="24" spans="1:23" outlineLevel="1">
      <c r="A24" s="6"/>
      <c r="B24" s="7" t="s">
        <v>72</v>
      </c>
      <c r="C24" s="61" t="s">
        <v>73</v>
      </c>
      <c r="D24" s="76" t="s">
        <v>293</v>
      </c>
      <c r="E24" s="70" t="s">
        <v>290</v>
      </c>
      <c r="F24" s="71"/>
      <c r="G24" s="71"/>
      <c r="H24" s="71"/>
      <c r="I24" s="71"/>
      <c r="J24" s="72"/>
      <c r="K24" s="73" t="s">
        <v>292</v>
      </c>
      <c r="L24" s="74"/>
      <c r="M24" s="74"/>
      <c r="N24" s="74"/>
      <c r="O24" s="75"/>
      <c r="Q24" s="24">
        <f>D24</f>
        <v>0</v>
      </c>
      <c r="R24" s="23">
        <f t="shared" si="8"/>
        <v>0</v>
      </c>
      <c r="S24" s="25">
        <f t="shared" si="9"/>
        <v>0</v>
      </c>
      <c r="T24" s="63">
        <f t="shared" si="10"/>
        <v>0</v>
      </c>
      <c r="U24" s="8"/>
      <c r="W24" s="78" t="s">
        <v>243</v>
      </c>
    </row>
    <row r="25" spans="1:23" outlineLevel="1">
      <c r="A25" s="6"/>
      <c r="B25" s="7" t="s">
        <v>48</v>
      </c>
      <c r="C25" s="61" t="s">
        <v>49</v>
      </c>
      <c r="D25" s="76" t="s">
        <v>292</v>
      </c>
      <c r="E25" s="70" t="s">
        <v>292</v>
      </c>
      <c r="F25" s="71"/>
      <c r="G25" s="71"/>
      <c r="H25" s="71"/>
      <c r="I25" s="71"/>
      <c r="J25" s="72"/>
      <c r="K25" s="73" t="s">
        <v>292</v>
      </c>
      <c r="L25" s="74"/>
      <c r="M25" s="74"/>
      <c r="N25" s="74"/>
      <c r="O25" s="75"/>
      <c r="Q25" s="24">
        <f>D25</f>
        <v>0</v>
      </c>
      <c r="R25" s="23">
        <f t="shared" si="8"/>
        <v>0</v>
      </c>
      <c r="S25" s="25">
        <f t="shared" si="9"/>
        <v>0</v>
      </c>
      <c r="T25" s="63">
        <f t="shared" si="10"/>
        <v>0</v>
      </c>
      <c r="U25" s="8"/>
      <c r="W25" s="78" t="s">
        <v>244</v>
      </c>
    </row>
    <row r="26" spans="1:23" outlineLevel="1">
      <c r="A26" s="6"/>
      <c r="B26" s="7" t="s">
        <v>115</v>
      </c>
      <c r="C26" s="61" t="s">
        <v>116</v>
      </c>
      <c r="D26" s="76" t="s">
        <v>292</v>
      </c>
      <c r="E26" s="70" t="s">
        <v>289</v>
      </c>
      <c r="F26" s="71"/>
      <c r="G26" s="71"/>
      <c r="H26" s="71"/>
      <c r="I26" s="71"/>
      <c r="J26" s="72"/>
      <c r="K26" s="73" t="s">
        <v>290</v>
      </c>
      <c r="L26" s="74"/>
      <c r="M26" s="74"/>
      <c r="N26" s="74"/>
      <c r="O26" s="75"/>
      <c r="Q26" s="24">
        <f>D26</f>
        <v>0</v>
      </c>
      <c r="R26" s="23">
        <f t="shared" si="8"/>
        <v>0</v>
      </c>
      <c r="S26" s="25">
        <f t="shared" si="9"/>
        <v>0</v>
      </c>
      <c r="T26" s="63">
        <f t="shared" si="10"/>
        <v>0</v>
      </c>
      <c r="U26" s="8"/>
      <c r="W26" s="78" t="s">
        <v>245</v>
      </c>
    </row>
    <row r="27" spans="1:23">
      <c r="A27" s="10" t="s">
        <v>137</v>
      </c>
      <c r="B27" s="11" t="s">
        <v>14</v>
      </c>
      <c r="C27" s="66"/>
      <c r="D27" s="17"/>
      <c r="E27" s="21"/>
      <c r="F27" s="13"/>
      <c r="G27" s="13"/>
      <c r="H27" s="13"/>
      <c r="I27" s="13"/>
      <c r="J27" s="22"/>
      <c r="K27" s="21"/>
      <c r="L27" s="13"/>
      <c r="M27" s="13"/>
      <c r="N27" s="13"/>
      <c r="O27" s="22"/>
      <c r="P27" s="14"/>
      <c r="Q27" s="15">
        <f>AVERAGE(Q28:Q32)</f>
        <v>0</v>
      </c>
      <c r="R27" s="15">
        <f>AVERAGE(R28:R32)</f>
        <v>0</v>
      </c>
      <c r="S27" s="15">
        <f>AVERAGE(S28:S32)</f>
        <v>0</v>
      </c>
      <c r="T27" s="64">
        <f t="shared" si="2"/>
        <v>0</v>
      </c>
      <c r="U27" s="15">
        <v>3.86</v>
      </c>
      <c r="W27" s="78"/>
    </row>
    <row r="28" spans="1:23" outlineLevel="1">
      <c r="A28" s="6"/>
      <c r="B28" s="7" t="s">
        <v>26</v>
      </c>
      <c r="C28" s="61" t="s">
        <v>27</v>
      </c>
      <c r="D28" s="69" t="s">
        <v>291</v>
      </c>
      <c r="E28" s="70" t="s">
        <v>289</v>
      </c>
      <c r="F28" s="71"/>
      <c r="G28" s="71"/>
      <c r="H28" s="71"/>
      <c r="I28" s="71"/>
      <c r="J28" s="72"/>
      <c r="K28" s="73" t="s">
        <v>292</v>
      </c>
      <c r="L28" s="74"/>
      <c r="M28" s="74"/>
      <c r="N28" s="74"/>
      <c r="O28" s="75"/>
      <c r="Q28" s="24">
        <f>D28</f>
        <v>0</v>
      </c>
      <c r="R28" s="23">
        <f t="shared" ref="R28:R32" si="11">IFERROR(AVERAGE(E28:J28),0)</f>
        <v>0</v>
      </c>
      <c r="S28" s="25">
        <f t="shared" ref="S28:S32" si="12">IFERROR(AVERAGE(K28:O28),0)</f>
        <v>0</v>
      </c>
      <c r="T28" s="63">
        <f t="shared" ref="T28:T32" si="13">IFERROR(AVERAGE(R28,S28),0)</f>
        <v>0</v>
      </c>
      <c r="U28" s="8"/>
      <c r="W28" s="78" t="s">
        <v>246</v>
      </c>
    </row>
    <row r="29" spans="1:23" outlineLevel="1">
      <c r="A29" s="6"/>
      <c r="B29" s="7" t="s">
        <v>94</v>
      </c>
      <c r="C29" s="61" t="s">
        <v>95</v>
      </c>
      <c r="D29" s="76" t="s">
        <v>289</v>
      </c>
      <c r="E29" s="70" t="s">
        <v>291</v>
      </c>
      <c r="F29" s="71"/>
      <c r="G29" s="71"/>
      <c r="H29" s="71"/>
      <c r="I29" s="71"/>
      <c r="J29" s="72"/>
      <c r="K29" s="73" t="s">
        <v>290</v>
      </c>
      <c r="L29" s="74"/>
      <c r="M29" s="74"/>
      <c r="N29" s="74"/>
      <c r="O29" s="75"/>
      <c r="Q29" s="24">
        <f>D29</f>
        <v>0</v>
      </c>
      <c r="R29" s="23">
        <f t="shared" si="11"/>
        <v>0</v>
      </c>
      <c r="S29" s="25">
        <f t="shared" si="12"/>
        <v>0</v>
      </c>
      <c r="T29" s="63">
        <f t="shared" si="13"/>
        <v>0</v>
      </c>
      <c r="U29" s="8"/>
      <c r="W29" s="78" t="s">
        <v>247</v>
      </c>
    </row>
    <row r="30" spans="1:23" outlineLevel="1">
      <c r="A30" s="6"/>
      <c r="B30" s="7" t="s">
        <v>74</v>
      </c>
      <c r="C30" s="65" t="s">
        <v>216</v>
      </c>
      <c r="D30" s="76" t="s">
        <v>291</v>
      </c>
      <c r="E30" s="70" t="s">
        <v>290</v>
      </c>
      <c r="F30" s="71"/>
      <c r="G30" s="71"/>
      <c r="H30" s="71"/>
      <c r="I30" s="71"/>
      <c r="J30" s="72"/>
      <c r="K30" s="73" t="s">
        <v>292</v>
      </c>
      <c r="L30" s="74"/>
      <c r="M30" s="74"/>
      <c r="N30" s="74"/>
      <c r="O30" s="75"/>
      <c r="Q30" s="24">
        <f>D30</f>
        <v>0</v>
      </c>
      <c r="R30" s="23">
        <f t="shared" si="11"/>
        <v>0</v>
      </c>
      <c r="S30" s="25">
        <f t="shared" si="12"/>
        <v>0</v>
      </c>
      <c r="T30" s="63">
        <f t="shared" si="13"/>
        <v>0</v>
      </c>
      <c r="U30" s="8"/>
      <c r="W30" s="78" t="s">
        <v>248</v>
      </c>
    </row>
    <row r="31" spans="1:23" outlineLevel="1">
      <c r="A31" s="6"/>
      <c r="B31" s="7" t="s">
        <v>50</v>
      </c>
      <c r="C31" s="61" t="s">
        <v>51</v>
      </c>
      <c r="D31" s="76" t="s">
        <v>289</v>
      </c>
      <c r="E31" s="70" t="s">
        <v>292</v>
      </c>
      <c r="F31" s="71"/>
      <c r="G31" s="71"/>
      <c r="H31" s="71"/>
      <c r="I31" s="71"/>
      <c r="J31" s="72"/>
      <c r="K31" s="73" t="s">
        <v>289</v>
      </c>
      <c r="L31" s="74"/>
      <c r="M31" s="74"/>
      <c r="N31" s="74"/>
      <c r="O31" s="75"/>
      <c r="Q31" s="24">
        <f>D31</f>
        <v>0</v>
      </c>
      <c r="R31" s="23">
        <f t="shared" si="11"/>
        <v>0</v>
      </c>
      <c r="S31" s="25">
        <f t="shared" si="12"/>
        <v>0</v>
      </c>
      <c r="T31" s="63">
        <f t="shared" si="13"/>
        <v>0</v>
      </c>
      <c r="U31" s="8"/>
      <c r="W31" s="78" t="s">
        <v>249</v>
      </c>
    </row>
    <row r="32" spans="1:23" outlineLevel="1">
      <c r="A32" s="6"/>
      <c r="B32" s="7" t="s">
        <v>117</v>
      </c>
      <c r="C32" s="65" t="s">
        <v>218</v>
      </c>
      <c r="D32" s="76" t="s">
        <v>292</v>
      </c>
      <c r="E32" s="70" t="s">
        <v>289</v>
      </c>
      <c r="F32" s="71"/>
      <c r="G32" s="71"/>
      <c r="H32" s="71"/>
      <c r="I32" s="71"/>
      <c r="J32" s="72"/>
      <c r="K32" s="73" t="s">
        <v>290</v>
      </c>
      <c r="L32" s="74"/>
      <c r="M32" s="74"/>
      <c r="N32" s="74"/>
      <c r="O32" s="75"/>
      <c r="Q32" s="24">
        <f>D32</f>
        <v>0</v>
      </c>
      <c r="R32" s="23">
        <f t="shared" si="11"/>
        <v>0</v>
      </c>
      <c r="S32" s="25">
        <f t="shared" si="12"/>
        <v>0</v>
      </c>
      <c r="T32" s="63">
        <f t="shared" si="13"/>
        <v>0</v>
      </c>
      <c r="U32" s="8"/>
      <c r="W32" s="78" t="s">
        <v>250</v>
      </c>
    </row>
    <row r="33" spans="1:23">
      <c r="A33" s="10" t="s">
        <v>138</v>
      </c>
      <c r="B33" s="11" t="s">
        <v>15</v>
      </c>
      <c r="C33" s="66"/>
      <c r="D33" s="17"/>
      <c r="E33" s="21"/>
      <c r="F33" s="13"/>
      <c r="G33" s="13"/>
      <c r="H33" s="13"/>
      <c r="I33" s="13"/>
      <c r="J33" s="22"/>
      <c r="K33" s="21"/>
      <c r="L33" s="13"/>
      <c r="M33" s="13"/>
      <c r="N33" s="13"/>
      <c r="O33" s="22"/>
      <c r="P33" s="14"/>
      <c r="Q33" s="15">
        <f>AVERAGE(Q34:Q38)</f>
        <v>0</v>
      </c>
      <c r="R33" s="15">
        <f>AVERAGE(R34:R38)</f>
        <v>0</v>
      </c>
      <c r="S33" s="15">
        <f>AVERAGE(S34:S38)</f>
        <v>0</v>
      </c>
      <c r="T33" s="64">
        <f t="shared" si="2"/>
        <v>0</v>
      </c>
      <c r="U33" s="15">
        <v>3.92</v>
      </c>
      <c r="W33" s="78"/>
    </row>
    <row r="34" spans="1:23" outlineLevel="1">
      <c r="A34" s="6"/>
      <c r="B34" s="7" t="s">
        <v>28</v>
      </c>
      <c r="C34" s="61" t="s">
        <v>29</v>
      </c>
      <c r="D34" s="69" t="s">
        <v>293</v>
      </c>
      <c r="E34" s="70" t="s">
        <v>289</v>
      </c>
      <c r="F34" s="71"/>
      <c r="G34" s="71"/>
      <c r="H34" s="71"/>
      <c r="I34" s="71"/>
      <c r="J34" s="72"/>
      <c r="K34" s="73" t="s">
        <v>289</v>
      </c>
      <c r="L34" s="74"/>
      <c r="M34" s="74"/>
      <c r="N34" s="74"/>
      <c r="O34" s="75"/>
      <c r="Q34" s="24">
        <f>D34</f>
        <v>0</v>
      </c>
      <c r="R34" s="23">
        <f t="shared" ref="R34:R38" si="14">IFERROR(AVERAGE(E34:J34),0)</f>
        <v>0</v>
      </c>
      <c r="S34" s="25">
        <f t="shared" ref="S34:S38" si="15">IFERROR(AVERAGE(K34:O34),0)</f>
        <v>0</v>
      </c>
      <c r="T34" s="63">
        <f t="shared" ref="T34:T38" si="16">IFERROR(AVERAGE(R34,S34),0)</f>
        <v>0</v>
      </c>
      <c r="U34" s="8"/>
      <c r="W34" s="78" t="s">
        <v>251</v>
      </c>
    </row>
    <row r="35" spans="1:23" outlineLevel="1">
      <c r="A35" s="6"/>
      <c r="B35" s="7" t="s">
        <v>96</v>
      </c>
      <c r="C35" s="61" t="s">
        <v>97</v>
      </c>
      <c r="D35" s="76" t="s">
        <v>289</v>
      </c>
      <c r="E35" s="70" t="s">
        <v>291</v>
      </c>
      <c r="F35" s="71"/>
      <c r="G35" s="71"/>
      <c r="H35" s="71"/>
      <c r="I35" s="71"/>
      <c r="J35" s="72"/>
      <c r="K35" s="73" t="s">
        <v>290</v>
      </c>
      <c r="L35" s="74"/>
      <c r="M35" s="74"/>
      <c r="N35" s="74"/>
      <c r="O35" s="75"/>
      <c r="Q35" s="24">
        <f>D35</f>
        <v>0</v>
      </c>
      <c r="R35" s="23">
        <f t="shared" si="14"/>
        <v>0</v>
      </c>
      <c r="S35" s="25">
        <f t="shared" si="15"/>
        <v>0</v>
      </c>
      <c r="T35" s="63">
        <f t="shared" si="16"/>
        <v>0</v>
      </c>
      <c r="U35" s="8"/>
      <c r="W35" s="78" t="s">
        <v>252</v>
      </c>
    </row>
    <row r="36" spans="1:23" outlineLevel="1">
      <c r="A36" s="6"/>
      <c r="B36" s="7" t="s">
        <v>75</v>
      </c>
      <c r="C36" s="61" t="s">
        <v>76</v>
      </c>
      <c r="D36" s="76" t="s">
        <v>293</v>
      </c>
      <c r="E36" s="70" t="s">
        <v>290</v>
      </c>
      <c r="F36" s="71"/>
      <c r="G36" s="71"/>
      <c r="H36" s="71"/>
      <c r="I36" s="71"/>
      <c r="J36" s="72"/>
      <c r="K36" s="73" t="s">
        <v>292</v>
      </c>
      <c r="L36" s="74"/>
      <c r="M36" s="74"/>
      <c r="N36" s="74"/>
      <c r="O36" s="75"/>
      <c r="Q36" s="24">
        <f>D36</f>
        <v>0</v>
      </c>
      <c r="R36" s="23">
        <f t="shared" si="14"/>
        <v>0</v>
      </c>
      <c r="S36" s="25">
        <f t="shared" si="15"/>
        <v>0</v>
      </c>
      <c r="T36" s="63">
        <f t="shared" si="16"/>
        <v>0</v>
      </c>
      <c r="U36" s="8"/>
      <c r="W36" s="78" t="s">
        <v>253</v>
      </c>
    </row>
    <row r="37" spans="1:23" outlineLevel="1">
      <c r="A37" s="6"/>
      <c r="B37" s="7" t="s">
        <v>52</v>
      </c>
      <c r="C37" s="61" t="s">
        <v>53</v>
      </c>
      <c r="D37" s="76" t="s">
        <v>292</v>
      </c>
      <c r="E37" s="70" t="s">
        <v>292</v>
      </c>
      <c r="F37" s="71"/>
      <c r="G37" s="71"/>
      <c r="H37" s="71"/>
      <c r="I37" s="71"/>
      <c r="J37" s="72"/>
      <c r="K37" s="73" t="s">
        <v>292</v>
      </c>
      <c r="L37" s="74"/>
      <c r="M37" s="74"/>
      <c r="N37" s="74"/>
      <c r="O37" s="75"/>
      <c r="Q37" s="24">
        <f>D37</f>
        <v>0</v>
      </c>
      <c r="R37" s="23">
        <f t="shared" si="14"/>
        <v>0</v>
      </c>
      <c r="S37" s="25">
        <f t="shared" si="15"/>
        <v>0</v>
      </c>
      <c r="T37" s="63">
        <f t="shared" si="16"/>
        <v>0</v>
      </c>
      <c r="U37" s="8"/>
      <c r="W37" s="78" t="s">
        <v>254</v>
      </c>
    </row>
    <row r="38" spans="1:23" outlineLevel="1">
      <c r="A38" s="6"/>
      <c r="B38" s="7" t="s">
        <v>118</v>
      </c>
      <c r="C38" s="61" t="s">
        <v>119</v>
      </c>
      <c r="D38" s="76" t="s">
        <v>292</v>
      </c>
      <c r="E38" s="70" t="s">
        <v>289</v>
      </c>
      <c r="F38" s="71"/>
      <c r="G38" s="71"/>
      <c r="H38" s="71"/>
      <c r="I38" s="71"/>
      <c r="J38" s="72"/>
      <c r="K38" s="73" t="s">
        <v>290</v>
      </c>
      <c r="L38" s="74"/>
      <c r="M38" s="74"/>
      <c r="N38" s="74"/>
      <c r="O38" s="75"/>
      <c r="Q38" s="24">
        <f>D38</f>
        <v>0</v>
      </c>
      <c r="R38" s="23">
        <f t="shared" si="14"/>
        <v>0</v>
      </c>
      <c r="S38" s="25">
        <f t="shared" si="15"/>
        <v>0</v>
      </c>
      <c r="T38" s="63">
        <f t="shared" si="16"/>
        <v>0</v>
      </c>
      <c r="U38" s="8"/>
      <c r="W38" s="78" t="s">
        <v>255</v>
      </c>
    </row>
    <row r="39" spans="1:23">
      <c r="A39" s="10" t="s">
        <v>139</v>
      </c>
      <c r="B39" s="11" t="s">
        <v>140</v>
      </c>
      <c r="C39" s="66"/>
      <c r="D39" s="17"/>
      <c r="E39" s="21"/>
      <c r="F39" s="13"/>
      <c r="G39" s="13"/>
      <c r="H39" s="13"/>
      <c r="I39" s="13"/>
      <c r="J39" s="22"/>
      <c r="K39" s="21"/>
      <c r="L39" s="13"/>
      <c r="M39" s="13"/>
      <c r="N39" s="13"/>
      <c r="O39" s="22"/>
      <c r="P39" s="14"/>
      <c r="Q39" s="15">
        <f>AVERAGE(Q40:Q44)</f>
        <v>0</v>
      </c>
      <c r="R39" s="15">
        <f>AVERAGE(R40:R44)</f>
        <v>0</v>
      </c>
      <c r="S39" s="15">
        <f>AVERAGE(S40:S44)</f>
        <v>0</v>
      </c>
      <c r="T39" s="64">
        <f t="shared" si="2"/>
        <v>0</v>
      </c>
      <c r="U39" s="15">
        <v>3.93</v>
      </c>
      <c r="W39" s="78"/>
    </row>
    <row r="40" spans="1:23" outlineLevel="1">
      <c r="A40" s="6"/>
      <c r="B40" s="7" t="s">
        <v>30</v>
      </c>
      <c r="C40" s="61" t="s">
        <v>31</v>
      </c>
      <c r="D40" s="69" t="s">
        <v>290</v>
      </c>
      <c r="E40" s="70" t="s">
        <v>289</v>
      </c>
      <c r="F40" s="71"/>
      <c r="G40" s="71"/>
      <c r="H40" s="71"/>
      <c r="I40" s="71"/>
      <c r="J40" s="72"/>
      <c r="K40" s="73" t="s">
        <v>292</v>
      </c>
      <c r="L40" s="74"/>
      <c r="M40" s="74"/>
      <c r="N40" s="74"/>
      <c r="O40" s="75"/>
      <c r="Q40" s="24">
        <f>D40</f>
        <v>0</v>
      </c>
      <c r="R40" s="23">
        <f t="shared" ref="R40:R44" si="17">IFERROR(AVERAGE(E40:J40),0)</f>
        <v>0</v>
      </c>
      <c r="S40" s="25">
        <f t="shared" ref="S40:S44" si="18">IFERROR(AVERAGE(K40:O40),0)</f>
        <v>0</v>
      </c>
      <c r="T40" s="63">
        <f t="shared" ref="T40:T44" si="19">IFERROR(AVERAGE(R40,S40),0)</f>
        <v>0</v>
      </c>
      <c r="U40" s="8"/>
      <c r="W40" s="78" t="s">
        <v>256</v>
      </c>
    </row>
    <row r="41" spans="1:23" outlineLevel="1">
      <c r="A41" s="6"/>
      <c r="B41" s="7" t="s">
        <v>98</v>
      </c>
      <c r="C41" s="61" t="s">
        <v>99</v>
      </c>
      <c r="D41" s="76" t="s">
        <v>289</v>
      </c>
      <c r="E41" s="70" t="s">
        <v>291</v>
      </c>
      <c r="F41" s="71"/>
      <c r="G41" s="71"/>
      <c r="H41" s="71"/>
      <c r="I41" s="71"/>
      <c r="J41" s="72"/>
      <c r="K41" s="73" t="s">
        <v>290</v>
      </c>
      <c r="L41" s="74"/>
      <c r="M41" s="74"/>
      <c r="N41" s="74"/>
      <c r="O41" s="75"/>
      <c r="Q41" s="24">
        <f>D41</f>
        <v>0</v>
      </c>
      <c r="R41" s="23">
        <f t="shared" si="17"/>
        <v>0</v>
      </c>
      <c r="S41" s="25">
        <f t="shared" si="18"/>
        <v>0</v>
      </c>
      <c r="T41" s="63">
        <f t="shared" si="19"/>
        <v>0</v>
      </c>
      <c r="U41" s="8"/>
      <c r="W41" s="78" t="s">
        <v>257</v>
      </c>
    </row>
    <row r="42" spans="1:23" outlineLevel="1">
      <c r="A42" s="6"/>
      <c r="B42" s="7" t="s">
        <v>77</v>
      </c>
      <c r="C42" s="61" t="s">
        <v>78</v>
      </c>
      <c r="D42" s="76" t="s">
        <v>291</v>
      </c>
      <c r="E42" s="70" t="s">
        <v>293</v>
      </c>
      <c r="F42" s="71"/>
      <c r="G42" s="71"/>
      <c r="H42" s="71"/>
      <c r="I42" s="71"/>
      <c r="J42" s="72"/>
      <c r="K42" s="73" t="s">
        <v>290</v>
      </c>
      <c r="L42" s="74"/>
      <c r="M42" s="74"/>
      <c r="N42" s="74"/>
      <c r="O42" s="75"/>
      <c r="Q42" s="24">
        <f>D42</f>
        <v>0</v>
      </c>
      <c r="R42" s="23">
        <f t="shared" si="17"/>
        <v>0</v>
      </c>
      <c r="S42" s="25">
        <f t="shared" si="18"/>
        <v>0</v>
      </c>
      <c r="T42" s="63">
        <f t="shared" si="19"/>
        <v>0</v>
      </c>
      <c r="U42" s="8"/>
      <c r="W42" s="78" t="s">
        <v>258</v>
      </c>
    </row>
    <row r="43" spans="1:23" outlineLevel="1">
      <c r="A43" s="6"/>
      <c r="B43" s="7" t="s">
        <v>54</v>
      </c>
      <c r="C43" s="61" t="s">
        <v>55</v>
      </c>
      <c r="D43" s="76" t="s">
        <v>290</v>
      </c>
      <c r="E43" s="70" t="s">
        <v>292</v>
      </c>
      <c r="F43" s="71"/>
      <c r="G43" s="71"/>
      <c r="H43" s="71"/>
      <c r="I43" s="71"/>
      <c r="J43" s="72"/>
      <c r="K43" s="73" t="s">
        <v>289</v>
      </c>
      <c r="L43" s="74"/>
      <c r="M43" s="74"/>
      <c r="N43" s="74"/>
      <c r="O43" s="75"/>
      <c r="Q43" s="24">
        <f>D43</f>
        <v>0</v>
      </c>
      <c r="R43" s="23">
        <f t="shared" si="17"/>
        <v>0</v>
      </c>
      <c r="S43" s="25">
        <f t="shared" si="18"/>
        <v>0</v>
      </c>
      <c r="T43" s="63">
        <f t="shared" si="19"/>
        <v>0</v>
      </c>
      <c r="U43" s="8"/>
      <c r="W43" s="78" t="s">
        <v>259</v>
      </c>
    </row>
    <row r="44" spans="1:23" outlineLevel="1">
      <c r="A44" s="6"/>
      <c r="B44" s="7" t="s">
        <v>120</v>
      </c>
      <c r="C44" s="61" t="s">
        <v>121</v>
      </c>
      <c r="D44" s="76" t="s">
        <v>292</v>
      </c>
      <c r="E44" s="70" t="s">
        <v>289</v>
      </c>
      <c r="F44" s="71"/>
      <c r="G44" s="71"/>
      <c r="H44" s="71"/>
      <c r="I44" s="71"/>
      <c r="J44" s="72"/>
      <c r="K44" s="73" t="s">
        <v>290</v>
      </c>
      <c r="L44" s="74"/>
      <c r="M44" s="74"/>
      <c r="N44" s="74"/>
      <c r="O44" s="75"/>
      <c r="Q44" s="24">
        <f>D44</f>
        <v>0</v>
      </c>
      <c r="R44" s="23">
        <f t="shared" si="17"/>
        <v>0</v>
      </c>
      <c r="S44" s="25">
        <f t="shared" si="18"/>
        <v>0</v>
      </c>
      <c r="T44" s="63">
        <f t="shared" si="19"/>
        <v>0</v>
      </c>
      <c r="U44" s="8"/>
      <c r="W44" s="78" t="s">
        <v>260</v>
      </c>
    </row>
    <row r="45" spans="1:23">
      <c r="A45" s="10" t="s">
        <v>141</v>
      </c>
      <c r="B45" s="11" t="s">
        <v>142</v>
      </c>
      <c r="C45" s="66"/>
      <c r="D45" s="17"/>
      <c r="E45" s="21"/>
      <c r="F45" s="13"/>
      <c r="G45" s="13"/>
      <c r="H45" s="13"/>
      <c r="I45" s="13"/>
      <c r="J45" s="22"/>
      <c r="K45" s="21"/>
      <c r="L45" s="13"/>
      <c r="M45" s="13"/>
      <c r="N45" s="13"/>
      <c r="O45" s="22"/>
      <c r="P45" s="14"/>
      <c r="Q45" s="15">
        <f>AVERAGE(Q46:Q50)</f>
        <v>0</v>
      </c>
      <c r="R45" s="15">
        <f>AVERAGE(R46:R50)</f>
        <v>0</v>
      </c>
      <c r="S45" s="15">
        <f>AVERAGE(S46:S50)</f>
        <v>0</v>
      </c>
      <c r="T45" s="64">
        <f t="shared" si="2"/>
        <v>0</v>
      </c>
      <c r="U45" s="15">
        <v>3.79</v>
      </c>
      <c r="W45" s="78"/>
    </row>
    <row r="46" spans="1:23" outlineLevel="1">
      <c r="A46" s="6"/>
      <c r="B46" s="7" t="s">
        <v>32</v>
      </c>
      <c r="C46" s="61" t="s">
        <v>33</v>
      </c>
      <c r="D46" s="69" t="s">
        <v>292</v>
      </c>
      <c r="E46" s="70" t="s">
        <v>289</v>
      </c>
      <c r="F46" s="71"/>
      <c r="G46" s="71"/>
      <c r="H46" s="71"/>
      <c r="I46" s="71"/>
      <c r="J46" s="72"/>
      <c r="K46" s="73" t="s">
        <v>289</v>
      </c>
      <c r="L46" s="74"/>
      <c r="M46" s="74"/>
      <c r="N46" s="74"/>
      <c r="O46" s="75"/>
      <c r="Q46" s="24">
        <f>D46</f>
        <v>0</v>
      </c>
      <c r="R46" s="23">
        <f t="shared" ref="R46:R50" si="20">IFERROR(AVERAGE(E46:J46),0)</f>
        <v>0</v>
      </c>
      <c r="S46" s="25">
        <f t="shared" ref="S46:S50" si="21">IFERROR(AVERAGE(K46:O46),0)</f>
        <v>0</v>
      </c>
      <c r="T46" s="63">
        <f t="shared" ref="T46:T50" si="22">IFERROR(AVERAGE(R46,S46),0)</f>
        <v>0</v>
      </c>
      <c r="U46" s="8"/>
      <c r="W46" s="78" t="s">
        <v>261</v>
      </c>
    </row>
    <row r="47" spans="1:23" outlineLevel="1">
      <c r="A47" s="6"/>
      <c r="B47" s="7" t="s">
        <v>100</v>
      </c>
      <c r="C47" s="61" t="s">
        <v>101</v>
      </c>
      <c r="D47" s="76" t="s">
        <v>289</v>
      </c>
      <c r="E47" s="70" t="s">
        <v>291</v>
      </c>
      <c r="F47" s="71"/>
      <c r="G47" s="71"/>
      <c r="H47" s="71"/>
      <c r="I47" s="71"/>
      <c r="J47" s="72"/>
      <c r="K47" s="73" t="s">
        <v>290</v>
      </c>
      <c r="L47" s="74"/>
      <c r="M47" s="74"/>
      <c r="N47" s="74"/>
      <c r="O47" s="75"/>
      <c r="Q47" s="24">
        <f>D47</f>
        <v>0</v>
      </c>
      <c r="R47" s="23">
        <f t="shared" si="20"/>
        <v>0</v>
      </c>
      <c r="S47" s="25">
        <f t="shared" si="21"/>
        <v>0</v>
      </c>
      <c r="T47" s="63">
        <f t="shared" si="22"/>
        <v>0</v>
      </c>
      <c r="U47" s="8"/>
      <c r="W47" s="78" t="s">
        <v>262</v>
      </c>
    </row>
    <row r="48" spans="1:23" outlineLevel="1">
      <c r="A48" s="6"/>
      <c r="B48" s="7" t="s">
        <v>79</v>
      </c>
      <c r="C48" s="61" t="s">
        <v>80</v>
      </c>
      <c r="D48" s="76" t="s">
        <v>293</v>
      </c>
      <c r="E48" s="70" t="s">
        <v>293</v>
      </c>
      <c r="F48" s="71"/>
      <c r="G48" s="71"/>
      <c r="H48" s="71"/>
      <c r="I48" s="71"/>
      <c r="J48" s="72"/>
      <c r="K48" s="73" t="s">
        <v>290</v>
      </c>
      <c r="L48" s="74"/>
      <c r="M48" s="74"/>
      <c r="N48" s="74"/>
      <c r="O48" s="75"/>
      <c r="Q48" s="24">
        <f>D48</f>
        <v>0</v>
      </c>
      <c r="R48" s="23">
        <f t="shared" si="20"/>
        <v>0</v>
      </c>
      <c r="S48" s="25">
        <f t="shared" si="21"/>
        <v>0</v>
      </c>
      <c r="T48" s="63">
        <f t="shared" si="22"/>
        <v>0</v>
      </c>
      <c r="U48" s="8"/>
      <c r="W48" s="78" t="s">
        <v>263</v>
      </c>
    </row>
    <row r="49" spans="1:23" outlineLevel="1">
      <c r="A49" s="6"/>
      <c r="B49" s="7" t="s">
        <v>56</v>
      </c>
      <c r="C49" s="61" t="s">
        <v>57</v>
      </c>
      <c r="D49" s="76" t="s">
        <v>293</v>
      </c>
      <c r="E49" s="70" t="s">
        <v>292</v>
      </c>
      <c r="F49" s="71"/>
      <c r="G49" s="71"/>
      <c r="H49" s="71"/>
      <c r="I49" s="71"/>
      <c r="J49" s="72"/>
      <c r="K49" s="73" t="s">
        <v>292</v>
      </c>
      <c r="L49" s="74"/>
      <c r="M49" s="74"/>
      <c r="N49" s="74"/>
      <c r="O49" s="75"/>
      <c r="Q49" s="24">
        <f>D49</f>
        <v>0</v>
      </c>
      <c r="R49" s="23">
        <f t="shared" si="20"/>
        <v>0</v>
      </c>
      <c r="S49" s="25">
        <f t="shared" si="21"/>
        <v>0</v>
      </c>
      <c r="T49" s="63">
        <f t="shared" si="22"/>
        <v>0</v>
      </c>
      <c r="U49" s="8"/>
      <c r="W49" s="78" t="s">
        <v>264</v>
      </c>
    </row>
    <row r="50" spans="1:23" outlineLevel="1">
      <c r="A50" s="6"/>
      <c r="B50" s="7" t="s">
        <v>122</v>
      </c>
      <c r="C50" s="61" t="s">
        <v>123</v>
      </c>
      <c r="D50" s="76" t="s">
        <v>292</v>
      </c>
      <c r="E50" s="70" t="s">
        <v>289</v>
      </c>
      <c r="F50" s="71"/>
      <c r="G50" s="71"/>
      <c r="H50" s="71"/>
      <c r="I50" s="71"/>
      <c r="J50" s="72"/>
      <c r="K50" s="73" t="s">
        <v>290</v>
      </c>
      <c r="L50" s="74"/>
      <c r="M50" s="74"/>
      <c r="N50" s="74"/>
      <c r="O50" s="75"/>
      <c r="Q50" s="24">
        <f>D50</f>
        <v>0</v>
      </c>
      <c r="R50" s="23">
        <f t="shared" si="20"/>
        <v>0</v>
      </c>
      <c r="S50" s="25">
        <f t="shared" si="21"/>
        <v>0</v>
      </c>
      <c r="T50" s="63">
        <f t="shared" si="22"/>
        <v>0</v>
      </c>
      <c r="U50" s="8"/>
      <c r="W50" s="78" t="s">
        <v>265</v>
      </c>
    </row>
    <row r="51" spans="1:23">
      <c r="A51" s="10" t="s">
        <v>143</v>
      </c>
      <c r="B51" s="11" t="s">
        <v>144</v>
      </c>
      <c r="C51" s="66"/>
      <c r="D51" s="17"/>
      <c r="E51" s="21"/>
      <c r="F51" s="13"/>
      <c r="G51" s="13"/>
      <c r="H51" s="13"/>
      <c r="I51" s="13"/>
      <c r="J51" s="22"/>
      <c r="K51" s="21"/>
      <c r="L51" s="13"/>
      <c r="M51" s="13"/>
      <c r="N51" s="13"/>
      <c r="O51" s="22"/>
      <c r="P51" s="14"/>
      <c r="Q51" s="15">
        <f>AVERAGE(Q52:Q56)</f>
        <v>0</v>
      </c>
      <c r="R51" s="15">
        <f>AVERAGE(R52:R56)</f>
        <v>0</v>
      </c>
      <c r="S51" s="15">
        <f>AVERAGE(S52:S56)</f>
        <v>0</v>
      </c>
      <c r="T51" s="64">
        <f t="shared" si="2"/>
        <v>0</v>
      </c>
      <c r="U51" s="15">
        <v>3.98</v>
      </c>
      <c r="W51" s="78"/>
    </row>
    <row r="52" spans="1:23" outlineLevel="1">
      <c r="A52" s="6"/>
      <c r="B52" s="7" t="s">
        <v>34</v>
      </c>
      <c r="C52" s="61" t="s">
        <v>35</v>
      </c>
      <c r="D52" s="69" t="s">
        <v>289</v>
      </c>
      <c r="E52" s="70" t="s">
        <v>289</v>
      </c>
      <c r="F52" s="71"/>
      <c r="G52" s="71"/>
      <c r="H52" s="71"/>
      <c r="I52" s="71"/>
      <c r="J52" s="72"/>
      <c r="K52" s="73" t="s">
        <v>292</v>
      </c>
      <c r="L52" s="74"/>
      <c r="M52" s="74"/>
      <c r="N52" s="74"/>
      <c r="O52" s="75"/>
      <c r="Q52" s="24">
        <f>D52</f>
        <v>0</v>
      </c>
      <c r="R52" s="23">
        <f t="shared" ref="R52:R56" si="23">IFERROR(AVERAGE(E52:J52),0)</f>
        <v>0</v>
      </c>
      <c r="S52" s="25">
        <f t="shared" ref="S52:S56" si="24">IFERROR(AVERAGE(K52:O52),0)</f>
        <v>0</v>
      </c>
      <c r="T52" s="63">
        <f t="shared" ref="T52:T56" si="25">IFERROR(AVERAGE(R52,S52),0)</f>
        <v>0</v>
      </c>
      <c r="U52" s="8"/>
      <c r="W52" s="78" t="s">
        <v>266</v>
      </c>
    </row>
    <row r="53" spans="1:23" outlineLevel="1">
      <c r="A53" s="6"/>
      <c r="B53" s="7" t="s">
        <v>102</v>
      </c>
      <c r="C53" s="61" t="s">
        <v>103</v>
      </c>
      <c r="D53" s="76" t="s">
        <v>289</v>
      </c>
      <c r="E53" s="70" t="s">
        <v>291</v>
      </c>
      <c r="F53" s="71"/>
      <c r="G53" s="71"/>
      <c r="H53" s="71"/>
      <c r="I53" s="71"/>
      <c r="J53" s="72"/>
      <c r="K53" s="73" t="s">
        <v>290</v>
      </c>
      <c r="L53" s="74"/>
      <c r="M53" s="74"/>
      <c r="N53" s="74"/>
      <c r="O53" s="75"/>
      <c r="Q53" s="24">
        <f>D53</f>
        <v>0</v>
      </c>
      <c r="R53" s="23">
        <f t="shared" si="23"/>
        <v>0</v>
      </c>
      <c r="S53" s="25">
        <f t="shared" si="24"/>
        <v>0</v>
      </c>
      <c r="T53" s="63">
        <f t="shared" si="25"/>
        <v>0</v>
      </c>
      <c r="U53" s="8"/>
      <c r="W53" s="78" t="s">
        <v>267</v>
      </c>
    </row>
    <row r="54" spans="1:23" outlineLevel="1">
      <c r="A54" s="6"/>
      <c r="B54" s="7" t="s">
        <v>81</v>
      </c>
      <c r="C54" s="61" t="s">
        <v>82</v>
      </c>
      <c r="D54" s="76" t="s">
        <v>290</v>
      </c>
      <c r="E54" s="70" t="s">
        <v>293</v>
      </c>
      <c r="F54" s="71"/>
      <c r="G54" s="71"/>
      <c r="H54" s="71"/>
      <c r="I54" s="71"/>
      <c r="J54" s="72"/>
      <c r="K54" s="73" t="s">
        <v>290</v>
      </c>
      <c r="L54" s="74"/>
      <c r="M54" s="74"/>
      <c r="N54" s="74"/>
      <c r="O54" s="75"/>
      <c r="Q54" s="24">
        <f>D54</f>
        <v>0</v>
      </c>
      <c r="R54" s="23">
        <f t="shared" si="23"/>
        <v>0</v>
      </c>
      <c r="S54" s="25">
        <f t="shared" si="24"/>
        <v>0</v>
      </c>
      <c r="T54" s="63">
        <f t="shared" si="25"/>
        <v>0</v>
      </c>
      <c r="U54" s="8"/>
      <c r="W54" s="78" t="s">
        <v>268</v>
      </c>
    </row>
    <row r="55" spans="1:23" outlineLevel="1">
      <c r="A55" s="6"/>
      <c r="B55" s="7" t="s">
        <v>58</v>
      </c>
      <c r="C55" s="61" t="s">
        <v>59</v>
      </c>
      <c r="D55" s="76" t="s">
        <v>291</v>
      </c>
      <c r="E55" s="70" t="s">
        <v>290</v>
      </c>
      <c r="F55" s="71"/>
      <c r="G55" s="71"/>
      <c r="H55" s="71"/>
      <c r="I55" s="71"/>
      <c r="J55" s="72"/>
      <c r="K55" s="73" t="s">
        <v>289</v>
      </c>
      <c r="L55" s="74"/>
      <c r="M55" s="74"/>
      <c r="N55" s="74"/>
      <c r="O55" s="75"/>
      <c r="Q55" s="24">
        <f>D55</f>
        <v>0</v>
      </c>
      <c r="R55" s="23">
        <f t="shared" si="23"/>
        <v>0</v>
      </c>
      <c r="S55" s="25">
        <f t="shared" si="24"/>
        <v>0</v>
      </c>
      <c r="T55" s="63">
        <f t="shared" si="25"/>
        <v>0</v>
      </c>
      <c r="U55" s="8"/>
      <c r="W55" s="78" t="s">
        <v>269</v>
      </c>
    </row>
    <row r="56" spans="1:23" outlineLevel="1">
      <c r="A56" s="6"/>
      <c r="B56" s="7" t="s">
        <v>124</v>
      </c>
      <c r="C56" s="61" t="s">
        <v>125</v>
      </c>
      <c r="D56" s="76" t="s">
        <v>292</v>
      </c>
      <c r="E56" s="70" t="s">
        <v>289</v>
      </c>
      <c r="F56" s="71"/>
      <c r="G56" s="71"/>
      <c r="H56" s="71"/>
      <c r="I56" s="71"/>
      <c r="J56" s="72"/>
      <c r="K56" s="73" t="s">
        <v>290</v>
      </c>
      <c r="L56" s="74"/>
      <c r="M56" s="74"/>
      <c r="N56" s="74"/>
      <c r="O56" s="75"/>
      <c r="Q56" s="24">
        <f>D56</f>
        <v>0</v>
      </c>
      <c r="R56" s="23">
        <f t="shared" si="23"/>
        <v>0</v>
      </c>
      <c r="S56" s="25">
        <f t="shared" si="24"/>
        <v>0</v>
      </c>
      <c r="T56" s="63">
        <f t="shared" si="25"/>
        <v>0</v>
      </c>
      <c r="U56" s="8"/>
      <c r="W56" s="78" t="s">
        <v>270</v>
      </c>
    </row>
    <row r="57" spans="1:23">
      <c r="A57" s="10" t="s">
        <v>145</v>
      </c>
      <c r="B57" s="11" t="s">
        <v>146</v>
      </c>
      <c r="C57" s="66"/>
      <c r="D57" s="17"/>
      <c r="E57" s="21"/>
      <c r="F57" s="13"/>
      <c r="G57" s="13"/>
      <c r="H57" s="13"/>
      <c r="I57" s="13"/>
      <c r="J57" s="22"/>
      <c r="K57" s="21"/>
      <c r="L57" s="13"/>
      <c r="M57" s="13"/>
      <c r="N57" s="13"/>
      <c r="O57" s="22"/>
      <c r="P57" s="14"/>
      <c r="Q57" s="15">
        <f>AVERAGE(Q58:Q62)</f>
        <v>0</v>
      </c>
      <c r="R57" s="15">
        <f>AVERAGE(R58:R62)</f>
        <v>0</v>
      </c>
      <c r="S57" s="15">
        <f>AVERAGE(S58:S62)</f>
        <v>0</v>
      </c>
      <c r="T57" s="64">
        <f t="shared" si="2"/>
        <v>0</v>
      </c>
      <c r="U57" s="15">
        <v>3.86</v>
      </c>
      <c r="W57" s="78"/>
    </row>
    <row r="58" spans="1:23" outlineLevel="1">
      <c r="A58" s="6"/>
      <c r="B58" s="7" t="s">
        <v>36</v>
      </c>
      <c r="C58" s="61" t="s">
        <v>37</v>
      </c>
      <c r="D58" s="69" t="s">
        <v>292</v>
      </c>
      <c r="E58" s="70" t="s">
        <v>289</v>
      </c>
      <c r="F58" s="71"/>
      <c r="G58" s="71"/>
      <c r="H58" s="71"/>
      <c r="I58" s="71"/>
      <c r="J58" s="72"/>
      <c r="K58" s="73" t="s">
        <v>289</v>
      </c>
      <c r="L58" s="74"/>
      <c r="M58" s="74"/>
      <c r="N58" s="74"/>
      <c r="O58" s="75"/>
      <c r="Q58" s="24">
        <f>D58</f>
        <v>0</v>
      </c>
      <c r="R58" s="23">
        <f t="shared" ref="R58:R62" si="26">IFERROR(AVERAGE(E58:J58),0)</f>
        <v>0</v>
      </c>
      <c r="S58" s="25">
        <f t="shared" ref="S58:S62" si="27">IFERROR(AVERAGE(K58:O58),0)</f>
        <v>0</v>
      </c>
      <c r="T58" s="63">
        <f t="shared" ref="T58:T62" si="28">IFERROR(AVERAGE(R58,S58),0)</f>
        <v>0</v>
      </c>
      <c r="U58" s="8"/>
      <c r="W58" s="78" t="s">
        <v>271</v>
      </c>
    </row>
    <row r="59" spans="1:23" outlineLevel="1">
      <c r="A59" s="6"/>
      <c r="B59" s="7" t="s">
        <v>104</v>
      </c>
      <c r="C59" s="61" t="s">
        <v>105</v>
      </c>
      <c r="D59" s="76" t="s">
        <v>289</v>
      </c>
      <c r="E59" s="70" t="s">
        <v>291</v>
      </c>
      <c r="F59" s="71"/>
      <c r="G59" s="71"/>
      <c r="H59" s="71"/>
      <c r="I59" s="71"/>
      <c r="J59" s="72"/>
      <c r="K59" s="73" t="s">
        <v>290</v>
      </c>
      <c r="L59" s="74"/>
      <c r="M59" s="74"/>
      <c r="N59" s="74"/>
      <c r="O59" s="75"/>
      <c r="Q59" s="24">
        <f>D59</f>
        <v>0</v>
      </c>
      <c r="R59" s="23">
        <f t="shared" si="26"/>
        <v>0</v>
      </c>
      <c r="S59" s="25">
        <f t="shared" si="27"/>
        <v>0</v>
      </c>
      <c r="T59" s="63">
        <f t="shared" si="28"/>
        <v>0</v>
      </c>
      <c r="U59" s="8"/>
      <c r="W59" s="78" t="s">
        <v>272</v>
      </c>
    </row>
    <row r="60" spans="1:23" outlineLevel="1">
      <c r="A60" s="6"/>
      <c r="B60" s="7" t="s">
        <v>83</v>
      </c>
      <c r="C60" s="61" t="s">
        <v>213</v>
      </c>
      <c r="D60" s="76" t="s">
        <v>292</v>
      </c>
      <c r="E60" s="70" t="s">
        <v>293</v>
      </c>
      <c r="F60" s="71"/>
      <c r="G60" s="71"/>
      <c r="H60" s="71"/>
      <c r="I60" s="71"/>
      <c r="J60" s="72"/>
      <c r="K60" s="73" t="s">
        <v>290</v>
      </c>
      <c r="L60" s="74"/>
      <c r="M60" s="74"/>
      <c r="N60" s="74"/>
      <c r="O60" s="75"/>
      <c r="Q60" s="24">
        <f>D60</f>
        <v>0</v>
      </c>
      <c r="R60" s="23">
        <f t="shared" si="26"/>
        <v>0</v>
      </c>
      <c r="S60" s="25">
        <f t="shared" si="27"/>
        <v>0</v>
      </c>
      <c r="T60" s="63">
        <f t="shared" si="28"/>
        <v>0</v>
      </c>
      <c r="U60" s="8"/>
      <c r="W60" s="78" t="s">
        <v>273</v>
      </c>
    </row>
    <row r="61" spans="1:23" outlineLevel="1">
      <c r="A61" s="6"/>
      <c r="B61" s="7" t="s">
        <v>60</v>
      </c>
      <c r="C61" s="61" t="s">
        <v>61</v>
      </c>
      <c r="D61" s="76" t="s">
        <v>293</v>
      </c>
      <c r="E61" s="70" t="s">
        <v>290</v>
      </c>
      <c r="F61" s="71"/>
      <c r="G61" s="71"/>
      <c r="H61" s="71"/>
      <c r="I61" s="71"/>
      <c r="J61" s="72"/>
      <c r="K61" s="73" t="s">
        <v>289</v>
      </c>
      <c r="L61" s="74"/>
      <c r="M61" s="74"/>
      <c r="N61" s="74"/>
      <c r="O61" s="75"/>
      <c r="Q61" s="24">
        <f>D61</f>
        <v>0</v>
      </c>
      <c r="R61" s="23">
        <f t="shared" si="26"/>
        <v>0</v>
      </c>
      <c r="S61" s="25">
        <f t="shared" si="27"/>
        <v>0</v>
      </c>
      <c r="T61" s="63">
        <f t="shared" si="28"/>
        <v>0</v>
      </c>
      <c r="U61" s="8"/>
      <c r="W61" s="78" t="s">
        <v>274</v>
      </c>
    </row>
    <row r="62" spans="1:23" outlineLevel="1">
      <c r="A62" s="6"/>
      <c r="B62" s="7" t="s">
        <v>126</v>
      </c>
      <c r="C62" s="65" t="s">
        <v>219</v>
      </c>
      <c r="D62" s="76" t="s">
        <v>292</v>
      </c>
      <c r="E62" s="70" t="s">
        <v>289</v>
      </c>
      <c r="F62" s="71"/>
      <c r="G62" s="71"/>
      <c r="H62" s="71"/>
      <c r="I62" s="71"/>
      <c r="J62" s="72"/>
      <c r="K62" s="73" t="s">
        <v>290</v>
      </c>
      <c r="L62" s="74"/>
      <c r="M62" s="74"/>
      <c r="N62" s="74"/>
      <c r="O62" s="75"/>
      <c r="Q62" s="24">
        <f>D62</f>
        <v>0</v>
      </c>
      <c r="R62" s="23">
        <f t="shared" si="26"/>
        <v>0</v>
      </c>
      <c r="S62" s="25">
        <f t="shared" si="27"/>
        <v>0</v>
      </c>
      <c r="T62" s="63">
        <f t="shared" si="28"/>
        <v>0</v>
      </c>
      <c r="U62" s="8"/>
      <c r="W62" s="78" t="s">
        <v>275</v>
      </c>
    </row>
    <row r="63" spans="1:23">
      <c r="A63" s="10" t="s">
        <v>147</v>
      </c>
      <c r="B63" s="11" t="s">
        <v>287</v>
      </c>
      <c r="C63" s="66"/>
      <c r="D63" s="17"/>
      <c r="E63" s="21"/>
      <c r="F63" s="13"/>
      <c r="G63" s="13"/>
      <c r="H63" s="13"/>
      <c r="I63" s="13"/>
      <c r="J63" s="22"/>
      <c r="K63" s="21"/>
      <c r="L63" s="13"/>
      <c r="M63" s="13"/>
      <c r="N63" s="13"/>
      <c r="O63" s="22"/>
      <c r="P63" s="14"/>
      <c r="Q63" s="15">
        <f>AVERAGE(Q64:Q68)</f>
        <v>0</v>
      </c>
      <c r="R63" s="15">
        <f>AVERAGE(R64:R68)</f>
        <v>0</v>
      </c>
      <c r="S63" s="15">
        <f>AVERAGE(S64:S68)</f>
        <v>0</v>
      </c>
      <c r="T63" s="64">
        <f t="shared" si="2"/>
        <v>0</v>
      </c>
      <c r="U63" s="15">
        <v>3.82</v>
      </c>
      <c r="W63" s="78"/>
    </row>
    <row r="64" spans="1:23" outlineLevel="1">
      <c r="A64" s="6"/>
      <c r="B64" s="7" t="s">
        <v>38</v>
      </c>
      <c r="C64" s="61" t="s">
        <v>39</v>
      </c>
      <c r="D64" s="69" t="s">
        <v>290</v>
      </c>
      <c r="E64" s="70" t="s">
        <v>292</v>
      </c>
      <c r="F64" s="71"/>
      <c r="G64" s="71"/>
      <c r="H64" s="71"/>
      <c r="I64" s="71"/>
      <c r="J64" s="72"/>
      <c r="K64" s="73" t="s">
        <v>289</v>
      </c>
      <c r="L64" s="74"/>
      <c r="M64" s="74"/>
      <c r="N64" s="74"/>
      <c r="O64" s="75"/>
      <c r="Q64" s="24">
        <f>D64</f>
        <v>0</v>
      </c>
      <c r="R64" s="23">
        <f t="shared" ref="R64:R68" si="29">IFERROR(AVERAGE(E64:J64),0)</f>
        <v>0</v>
      </c>
      <c r="S64" s="25">
        <f t="shared" ref="S64:S68" si="30">IFERROR(AVERAGE(K64:O64),0)</f>
        <v>0</v>
      </c>
      <c r="T64" s="63">
        <f t="shared" ref="T64:T68" si="31">IFERROR(AVERAGE(R64,S64),0)</f>
        <v>0</v>
      </c>
      <c r="U64" s="8"/>
      <c r="W64" s="78" t="s">
        <v>276</v>
      </c>
    </row>
    <row r="65" spans="1:23" outlineLevel="1">
      <c r="A65" s="6"/>
      <c r="B65" s="7" t="s">
        <v>106</v>
      </c>
      <c r="C65" s="65" t="s">
        <v>214</v>
      </c>
      <c r="D65" s="76" t="s">
        <v>289</v>
      </c>
      <c r="E65" s="70" t="s">
        <v>291</v>
      </c>
      <c r="F65" s="71"/>
      <c r="G65" s="71"/>
      <c r="H65" s="71"/>
      <c r="I65" s="71"/>
      <c r="J65" s="72"/>
      <c r="K65" s="73" t="s">
        <v>290</v>
      </c>
      <c r="L65" s="74"/>
      <c r="M65" s="74"/>
      <c r="N65" s="74"/>
      <c r="O65" s="75"/>
      <c r="Q65" s="24">
        <f>D65</f>
        <v>0</v>
      </c>
      <c r="R65" s="23">
        <f t="shared" si="29"/>
        <v>0</v>
      </c>
      <c r="S65" s="25">
        <f t="shared" si="30"/>
        <v>0</v>
      </c>
      <c r="T65" s="63">
        <f t="shared" si="31"/>
        <v>0</v>
      </c>
      <c r="U65" s="8"/>
      <c r="W65" s="78" t="s">
        <v>277</v>
      </c>
    </row>
    <row r="66" spans="1:23" outlineLevel="1">
      <c r="A66" s="6"/>
      <c r="B66" s="7" t="s">
        <v>84</v>
      </c>
      <c r="C66" s="61" t="s">
        <v>85</v>
      </c>
      <c r="D66" s="76" t="s">
        <v>289</v>
      </c>
      <c r="E66" s="70" t="s">
        <v>293</v>
      </c>
      <c r="F66" s="71"/>
      <c r="G66" s="71"/>
      <c r="H66" s="71"/>
      <c r="I66" s="71"/>
      <c r="J66" s="72"/>
      <c r="K66" s="73" t="s">
        <v>290</v>
      </c>
      <c r="L66" s="74"/>
      <c r="M66" s="74"/>
      <c r="N66" s="74"/>
      <c r="O66" s="75"/>
      <c r="Q66" s="24">
        <f>D66</f>
        <v>0</v>
      </c>
      <c r="R66" s="23">
        <f t="shared" si="29"/>
        <v>0</v>
      </c>
      <c r="S66" s="25">
        <f t="shared" si="30"/>
        <v>0</v>
      </c>
      <c r="T66" s="63">
        <f t="shared" si="31"/>
        <v>0</v>
      </c>
      <c r="U66" s="8"/>
      <c r="W66" s="78" t="s">
        <v>278</v>
      </c>
    </row>
    <row r="67" spans="1:23" outlineLevel="1">
      <c r="A67" s="6"/>
      <c r="B67" s="7" t="s">
        <v>62</v>
      </c>
      <c r="C67" s="61" t="s">
        <v>63</v>
      </c>
      <c r="D67" s="76" t="s">
        <v>290</v>
      </c>
      <c r="E67" s="70" t="s">
        <v>290</v>
      </c>
      <c r="F67" s="71"/>
      <c r="G67" s="71"/>
      <c r="H67" s="71"/>
      <c r="I67" s="71"/>
      <c r="J67" s="72"/>
      <c r="K67" s="73" t="s">
        <v>289</v>
      </c>
      <c r="L67" s="74"/>
      <c r="M67" s="74"/>
      <c r="N67" s="74"/>
      <c r="O67" s="75"/>
      <c r="Q67" s="24">
        <f>D67</f>
        <v>0</v>
      </c>
      <c r="R67" s="23">
        <f t="shared" si="29"/>
        <v>0</v>
      </c>
      <c r="S67" s="25">
        <f t="shared" si="30"/>
        <v>0</v>
      </c>
      <c r="T67" s="63">
        <f t="shared" si="31"/>
        <v>0</v>
      </c>
      <c r="U67" s="8"/>
      <c r="W67" s="78" t="s">
        <v>279</v>
      </c>
    </row>
    <row r="68" spans="1:23" outlineLevel="1">
      <c r="A68" s="6"/>
      <c r="B68" s="7" t="s">
        <v>127</v>
      </c>
      <c r="C68" s="61" t="s">
        <v>128</v>
      </c>
      <c r="D68" s="76" t="s">
        <v>292</v>
      </c>
      <c r="E68" s="70" t="s">
        <v>289</v>
      </c>
      <c r="F68" s="71"/>
      <c r="G68" s="71"/>
      <c r="H68" s="71"/>
      <c r="I68" s="71"/>
      <c r="J68" s="72"/>
      <c r="K68" s="73" t="s">
        <v>290</v>
      </c>
      <c r="L68" s="74"/>
      <c r="M68" s="74"/>
      <c r="N68" s="74"/>
      <c r="O68" s="75"/>
      <c r="Q68" s="24">
        <f>D68</f>
        <v>0</v>
      </c>
      <c r="R68" s="23">
        <f t="shared" si="29"/>
        <v>0</v>
      </c>
      <c r="S68" s="25">
        <f t="shared" si="30"/>
        <v>0</v>
      </c>
      <c r="T68" s="63">
        <f t="shared" si="31"/>
        <v>0</v>
      </c>
      <c r="U68" s="8"/>
      <c r="W68" s="78" t="s">
        <v>280</v>
      </c>
    </row>
    <row r="69" spans="1:23">
      <c r="A69" s="10" t="s">
        <v>148</v>
      </c>
      <c r="B69" s="11" t="s">
        <v>12</v>
      </c>
      <c r="C69" s="66"/>
      <c r="D69" s="17"/>
      <c r="E69" s="21"/>
      <c r="F69" s="13"/>
      <c r="G69" s="13"/>
      <c r="H69" s="13"/>
      <c r="I69" s="13"/>
      <c r="J69" s="22"/>
      <c r="K69" s="21"/>
      <c r="L69" s="13"/>
      <c r="M69" s="13"/>
      <c r="N69" s="13"/>
      <c r="O69" s="22"/>
      <c r="P69" s="14"/>
      <c r="Q69" s="15">
        <f>AVERAGE(Q70:Q74)</f>
        <v>0</v>
      </c>
      <c r="R69" s="15">
        <f>AVERAGE(R70:R74)</f>
        <v>0</v>
      </c>
      <c r="S69" s="15">
        <f>AVERAGE(S70:S74)</f>
        <v>0</v>
      </c>
      <c r="T69" s="64">
        <f t="shared" ref="T69" si="32">AVERAGE(R69,S69)</f>
        <v>0</v>
      </c>
      <c r="U69" s="15">
        <v>3.81</v>
      </c>
      <c r="W69" s="78"/>
    </row>
    <row r="70" spans="1:23" outlineLevel="1">
      <c r="A70" s="6"/>
      <c r="B70" s="7" t="s">
        <v>40</v>
      </c>
      <c r="C70" s="61" t="s">
        <v>41</v>
      </c>
      <c r="D70" s="69" t="s">
        <v>293</v>
      </c>
      <c r="E70" s="70" t="s">
        <v>292</v>
      </c>
      <c r="F70" s="71"/>
      <c r="G70" s="71"/>
      <c r="H70" s="71"/>
      <c r="I70" s="71"/>
      <c r="J70" s="72"/>
      <c r="K70" s="73" t="s">
        <v>289</v>
      </c>
      <c r="L70" s="74"/>
      <c r="M70" s="74"/>
      <c r="N70" s="74"/>
      <c r="O70" s="75"/>
      <c r="Q70" s="24">
        <f>D70</f>
        <v>0</v>
      </c>
      <c r="R70" s="23">
        <f t="shared" ref="R70:R74" si="33">IFERROR(AVERAGE(E70:J70),0)</f>
        <v>0</v>
      </c>
      <c r="S70" s="25">
        <f t="shared" ref="S70:S74" si="34">IFERROR(AVERAGE(K70:O70),0)</f>
        <v>0</v>
      </c>
      <c r="T70" s="63">
        <f t="shared" ref="T70:T74" si="35">IFERROR(AVERAGE(R70,S70),0)</f>
        <v>0</v>
      </c>
      <c r="U70" s="8"/>
      <c r="W70" s="78" t="s">
        <v>281</v>
      </c>
    </row>
    <row r="71" spans="1:23" outlineLevel="1">
      <c r="A71" s="6"/>
      <c r="B71" s="7" t="s">
        <v>107</v>
      </c>
      <c r="C71" s="61" t="s">
        <v>108</v>
      </c>
      <c r="D71" s="76" t="s">
        <v>289</v>
      </c>
      <c r="E71" s="70" t="s">
        <v>291</v>
      </c>
      <c r="F71" s="71"/>
      <c r="G71" s="71"/>
      <c r="H71" s="71"/>
      <c r="I71" s="71"/>
      <c r="J71" s="72"/>
      <c r="K71" s="73" t="s">
        <v>290</v>
      </c>
      <c r="L71" s="74"/>
      <c r="M71" s="74"/>
      <c r="N71" s="74"/>
      <c r="O71" s="75"/>
      <c r="Q71" s="24">
        <f>D71</f>
        <v>0</v>
      </c>
      <c r="R71" s="23">
        <f t="shared" si="33"/>
        <v>0</v>
      </c>
      <c r="S71" s="25">
        <f t="shared" si="34"/>
        <v>0</v>
      </c>
      <c r="T71" s="63">
        <f t="shared" si="35"/>
        <v>0</v>
      </c>
      <c r="U71" s="8"/>
      <c r="W71" s="78" t="s">
        <v>282</v>
      </c>
    </row>
    <row r="72" spans="1:23" outlineLevel="1">
      <c r="A72" s="6"/>
      <c r="B72" s="7" t="s">
        <v>86</v>
      </c>
      <c r="C72" s="65" t="s">
        <v>220</v>
      </c>
      <c r="D72" s="76" t="s">
        <v>292</v>
      </c>
      <c r="E72" s="70" t="s">
        <v>293</v>
      </c>
      <c r="F72" s="71"/>
      <c r="G72" s="71"/>
      <c r="H72" s="71"/>
      <c r="I72" s="71"/>
      <c r="J72" s="72"/>
      <c r="K72" s="73" t="s">
        <v>290</v>
      </c>
      <c r="L72" s="74"/>
      <c r="M72" s="74"/>
      <c r="N72" s="74"/>
      <c r="O72" s="75"/>
      <c r="Q72" s="24">
        <f>D72</f>
        <v>0</v>
      </c>
      <c r="R72" s="23">
        <f t="shared" si="33"/>
        <v>0</v>
      </c>
      <c r="S72" s="25">
        <f t="shared" si="34"/>
        <v>0</v>
      </c>
      <c r="T72" s="63">
        <f t="shared" si="35"/>
        <v>0</v>
      </c>
      <c r="U72" s="8"/>
      <c r="W72" s="78" t="s">
        <v>283</v>
      </c>
    </row>
    <row r="73" spans="1:23" outlineLevel="1">
      <c r="A73" s="6"/>
      <c r="B73" s="7" t="s">
        <v>64</v>
      </c>
      <c r="C73" s="61" t="s">
        <v>65</v>
      </c>
      <c r="D73" s="76" t="s">
        <v>292</v>
      </c>
      <c r="E73" s="70" t="s">
        <v>290</v>
      </c>
      <c r="F73" s="71"/>
      <c r="G73" s="71"/>
      <c r="H73" s="71"/>
      <c r="I73" s="71"/>
      <c r="J73" s="72"/>
      <c r="K73" s="73" t="s">
        <v>289</v>
      </c>
      <c r="L73" s="74"/>
      <c r="M73" s="74"/>
      <c r="N73" s="74"/>
      <c r="O73" s="75"/>
      <c r="Q73" s="24">
        <f>D73</f>
        <v>0</v>
      </c>
      <c r="R73" s="23">
        <f t="shared" si="33"/>
        <v>0</v>
      </c>
      <c r="S73" s="25">
        <f t="shared" si="34"/>
        <v>0</v>
      </c>
      <c r="T73" s="63">
        <f t="shared" si="35"/>
        <v>0</v>
      </c>
      <c r="U73" s="8"/>
      <c r="W73" s="78" t="s">
        <v>284</v>
      </c>
    </row>
    <row r="74" spans="1:23" outlineLevel="1">
      <c r="A74" s="6"/>
      <c r="B74" s="7" t="s">
        <v>129</v>
      </c>
      <c r="C74" s="61" t="s">
        <v>130</v>
      </c>
      <c r="D74" s="76" t="s">
        <v>292</v>
      </c>
      <c r="E74" s="70" t="s">
        <v>289</v>
      </c>
      <c r="F74" s="71"/>
      <c r="G74" s="71"/>
      <c r="H74" s="71"/>
      <c r="I74" s="71"/>
      <c r="J74" s="72"/>
      <c r="K74" s="73" t="s">
        <v>290</v>
      </c>
      <c r="L74" s="74"/>
      <c r="M74" s="74"/>
      <c r="N74" s="74"/>
      <c r="O74" s="75"/>
      <c r="Q74" s="24">
        <f>D74</f>
        <v>0</v>
      </c>
      <c r="R74" s="23">
        <f t="shared" si="33"/>
        <v>0</v>
      </c>
      <c r="S74" s="25">
        <f t="shared" si="34"/>
        <v>0</v>
      </c>
      <c r="T74" s="63">
        <f t="shared" si="35"/>
        <v>0</v>
      </c>
      <c r="U74" s="8"/>
      <c r="W74" s="78" t="s">
        <v>285</v>
      </c>
    </row>
    <row r="75" spans="1:23">
      <c r="M75" s="5"/>
      <c r="N75" s="5"/>
      <c r="W75" s="78"/>
    </row>
  </sheetData>
  <mergeCells count="2">
    <mergeCell ref="A1:C1"/>
    <mergeCell ref="A2:C2"/>
  </mergeCells>
  <phoneticPr fontId="12" type="noConversion"/>
  <pageMargins left="0.7" right="0.7" top="0.75" bottom="0.75" header="0.3" footer="0.3"/>
  <pageSetup paperSize="9" scale="44" orientation="portrait" r:id="rId1"/>
  <headerFooter>
    <oddFooter><![CDATA[&L&"Calibri,Normal"&K000000&G&C&"Calibri,Normal"&K000000Mariano Vilallonga- Feedback 360°&R&"Calibri,Normal"&K000000Página 16]]></oddFooter>
  </headerFooter>
  <ignoredErrors>
    <ignoredError sqref="T4 Q9" formula="1"/>
  </ignoredError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9</vt:i4>
      </vt:variant>
    </vt:vector>
  </HeadingPairs>
  <TitlesOfParts>
    <vt:vector size="23" baseType="lpstr">
      <vt:lpstr>Portada</vt:lpstr>
      <vt:lpstr>Indice</vt:lpstr>
      <vt:lpstr>Claves</vt:lpstr>
      <vt:lpstr>Modelo</vt:lpstr>
      <vt:lpstr>C.Negocio</vt:lpstr>
      <vt:lpstr>Radial A</vt:lpstr>
      <vt:lpstr>Radial B</vt:lpstr>
      <vt:lpstr>Fortalezas</vt:lpstr>
      <vt:lpstr>AreasMejora</vt:lpstr>
      <vt:lpstr>Pautas</vt:lpstr>
      <vt:lpstr>Matriz</vt:lpstr>
      <vt:lpstr>PotencialMejora</vt:lpstr>
      <vt:lpstr>PlanMejoraPersona</vt:lpstr>
      <vt:lpstr>Datos</vt:lpstr>
      <vt:lpstr>AreasMejora!Área_de_impresión</vt:lpstr>
      <vt:lpstr>C.Negocio!Área_de_impresión</vt:lpstr>
      <vt:lpstr>Indice!Área_de_impresión</vt:lpstr>
      <vt:lpstr>Matriz!Área_de_impresión</vt:lpstr>
      <vt:lpstr>PlanMejoraPersona!Área_de_impresión</vt:lpstr>
      <vt:lpstr>Portada!Área_de_impresión</vt:lpstr>
      <vt:lpstr>PotencialMejora!Área_de_impresión</vt:lpstr>
      <vt:lpstr>'Radial A'!Área_de_impresión</vt:lpstr>
      <vt:lpstr>'Radial B'!Área_de_impresión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2015-06-05T18:19:34Z</dcterms:created>
  <dc:creator>David Sainz-Maza</dc:creator>
  <cp:lastModifiedBy>ainhoa</cp:lastModifiedBy>
  <cp:lastPrinted>2020-10-28T22:45:42Z</cp:lastPrinted>
  <dcterms:modified xsi:type="dcterms:W3CDTF">2020-10-29T11:34:11Z</dcterms:modified>
</cp:coreProperties>
</file>